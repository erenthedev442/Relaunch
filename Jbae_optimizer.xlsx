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Build" sheetId="2" state="visible" r:id="rId2"/>
    <sheet xmlns:r="http://schemas.openxmlformats.org/officeDocument/2006/relationships" name="Stats" sheetId="3" state="visible" r:id="rId3"/>
    <sheet xmlns:r="http://schemas.openxmlformats.org/officeDocument/2006/relationships" name="GearCalc" sheetId="4" state="visible" r:id="rId4"/>
    <sheet xmlns:r="http://schemas.openxmlformats.org/officeDocument/2006/relationships" name="Calc" sheetId="5" state="visible" r:id="rId5"/>
    <sheet xmlns:r="http://schemas.openxmlformats.org/officeDocument/2006/relationships" name="EquipBase" sheetId="6" state="visible" r:id="rId6"/>
    <sheet xmlns:r="http://schemas.openxmlformats.org/officeDocument/2006/relationships" name="GearDB" sheetId="7" state="visible" r:id="rId7"/>
    <sheet xmlns:r="http://schemas.openxmlformats.org/officeDocument/2006/relationships" name="AugDB" sheetId="8" state="visible" r:id="rId8"/>
    <sheet xmlns:r="http://schemas.openxmlformats.org/officeDocument/2006/relationships" name="WSDB" sheetId="9" state="visible" r:id="rId9"/>
    <sheet xmlns:r="http://schemas.openxmlformats.org/officeDocument/2006/relationships" name="Targets" sheetId="10" state="visible" r:id="rId10"/>
    <sheet xmlns:r="http://schemas.openxmlformats.org/officeDocument/2006/relationships" name="Lists" sheetId="11" state="visible" r:id="rId11"/>
  </sheets>
  <definedNames>
    <definedName name="GearDB_names">GearDB!$A$2:$A$888</definedName>
    <definedName name="GearDB_STR">GearDB!$D$2:$D$888</definedName>
    <definedName name="GearDB_DEX">GearDB!$E$2:$E$888</definedName>
    <definedName name="GearDB_VIT">GearDB!$F$2:$F$888</definedName>
    <definedName name="GearDB_AGI">GearDB!$G$2:$G$888</definedName>
    <definedName name="GearDB_INT">GearDB!$H$2:$H$888</definedName>
    <definedName name="GearDB_MND">GearDB!$I$2:$I$888</definedName>
    <definedName name="GearDB_CHR">GearDB!$J$2:$J$888</definedName>
    <definedName name="GearDB_ATT">GearDB!$K$2:$K$888</definedName>
    <definedName name="GearDB_ATTP">GearDB!$L$2:$L$888</definedName>
    <definedName name="GearDB_ACC">GearDB!$M$2:$M$888</definedName>
    <definedName name="GearDB_CRITHITRATE">GearDB!$N$2:$N$888</definedName>
    <definedName name="GearDB_CRIT_DMG_INCREASE">GearDB!$O$2:$O$888</definedName>
    <definedName name="GearDB_DOUBLE_ATTACK">GearDB!$P$2:$P$888</definedName>
    <definedName name="GearDB_TRIPLE_ATTACK">GearDB!$Q$2:$Q$888</definedName>
    <definedName name="GearDB_QUAD_ATTACK">GearDB!$R$2:$R$888</definedName>
    <definedName name="GearDB_HASTE_GEAR">GearDB!$S$2:$S$888</definedName>
    <definedName name="GearDB_HASTE_MAGIC">GearDB!$T$2:$T$888</definedName>
    <definedName name="GearDB_HASTE_ABILITY">GearDB!$U$2:$U$888</definedName>
    <definedName name="GearDB_DUAL_WIELD">GearDB!$V$2:$V$888</definedName>
    <definedName name="GearDB_STORETP">GearDB!$W$2:$W$888</definedName>
    <definedName name="GearDB_TP_BONUS">GearDB!$X$2:$X$888</definedName>
    <definedName name="GearDB_ALL_WSDMG_ALL_HITS">GearDB!$Y$2:$Y$888</definedName>
    <definedName name="GearDB_ALL_WSDMG_FIRST_HIT">GearDB!$Z$2:$Z$888</definedName>
    <definedName name="GearDB_ANY_FTP_BONUS">GearDB!$AA$2:$AA$888</definedName>
    <definedName name="GearDB_WSACC">GearDB!$AB$2:$AB$888</definedName>
    <definedName name="GearDB_WSDMG_225">GearDB!$AC$2:$AC$888</definedName>
    <definedName name="AugDB_labels">AugDB!$A$2:$A$40</definedName>
    <definedName name="AugDB_STR">AugDB!$C$2:$C$40</definedName>
    <definedName name="AugDB_DEX">AugDB!$D$2:$D$40</definedName>
    <definedName name="AugDB_VIT">AugDB!$E$2:$E$40</definedName>
    <definedName name="AugDB_AGI">AugDB!$F$2:$F$40</definedName>
    <definedName name="AugDB_INT">AugDB!$G$2:$G$40</definedName>
    <definedName name="AugDB_MND">AugDB!$H$2:$H$40</definedName>
    <definedName name="AugDB_CHR">AugDB!$I$2:$I$40</definedName>
    <definedName name="AugDB_ATT">AugDB!$J$2:$J$40</definedName>
    <definedName name="AugDB_ATTP">AugDB!$K$2:$K$40</definedName>
    <definedName name="AugDB_ACC">AugDB!$L$2:$L$40</definedName>
    <definedName name="AugDB_CRITHITRATE">AugDB!$M$2:$M$40</definedName>
    <definedName name="AugDB_CRIT_DMG_INCREASE">AugDB!$N$2:$N$40</definedName>
    <definedName name="AugDB_DOUBLE_ATTACK">AugDB!$O$2:$O$40</definedName>
    <definedName name="AugDB_TRIPLE_ATTACK">AugDB!$P$2:$P$40</definedName>
    <definedName name="AugDB_QUAD_ATTACK">AugDB!$Q$2:$Q$40</definedName>
    <definedName name="AugDB_HASTE_GEAR">AugDB!$R$2:$R$40</definedName>
    <definedName name="AugDB_HASTE_MAGIC">AugDB!$S$2:$S$40</definedName>
    <definedName name="AugDB_HASTE_ABILITY">AugDB!$T$2:$T$40</definedName>
    <definedName name="AugDB_DUAL_WIELD">AugDB!$U$2:$U$40</definedName>
    <definedName name="AugDB_STORETP">AugDB!$V$2:$V$40</definedName>
    <definedName name="AugDB_TP_BONUS">AugDB!$W$2:$W$40</definedName>
    <definedName name="AugDB_ALL_WSDMG_ALL_HITS">AugDB!$X$2:$X$40</definedName>
    <definedName name="AugDB_ALL_WSDMG_FIRST_HIT">AugDB!$Y$2:$Y$40</definedName>
    <definedName name="AugDB_ANY_FTP_BONUS">AugDB!$Z$2:$Z$40</definedName>
    <definedName name="AugDB_WSACC">AugDB!$AA$2:$AA$40</definedName>
    <definedName name="AugDB_WSDMG_225">AugDB!$AB$2:$AB$40</definedName>
    <definedName name="list_targets">Targets!$A$2:$A$16</definedName>
    <definedName name="list_ws">WSDB!$A$2:$A$13</definedName>
    <definedName name="list_slot2">Lists!$A$2:$A$11</definedName>
    <definedName name="list_slot3">Lists!$B$2:$B$26</definedName>
    <definedName name="list_slot4">Lists!$C$2:$C$154</definedName>
    <definedName name="list_slot5">Lists!$D$2:$D$152</definedName>
    <definedName name="list_slot6">Lists!$E$2:$E$130</definedName>
    <definedName name="list_slot7">Lists!$F$2:$F$128</definedName>
    <definedName name="list_slot8">Lists!$G$2:$G$134</definedName>
    <definedName name="list_slot9">Lists!$H$2:$H$35</definedName>
    <definedName name="list_slot10">Lists!$I$2:$I$45</definedName>
    <definedName name="list_slot11">Lists!$J$2:$J$33</definedName>
    <definedName name="list_slot12">Lists!$K$2:$K$33</definedName>
    <definedName name="list_slot13">Lists!$L$2:$L$50</definedName>
    <definedName name="list_slot14">Lists!$M$2:$M$50</definedName>
    <definedName name="list_slot15">Lists!$N$2:$N$25</definedName>
    <definedName name="list_augs">Lists!$O$2:$O$41</definedName>
    <definedName name="list_freemods">Lists!$P$2:$P$27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color rgb="00FFFFFF"/>
    </font>
    <font>
      <i val="1"/>
      <color rgb="00C00000"/>
    </font>
    <font>
      <b val="1"/>
    </font>
    <font>
      <b val="1"/>
      <sz val="14"/>
    </font>
    <font>
      <i val="1"/>
    </font>
    <font>
      <i val="1"/>
      <sz val="9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1" fillId="2" borderId="0" pivotButton="0" quotePrefix="0" xfId="0"/>
    <xf numFmtId="164" fontId="0" fillId="5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Gear / Augment DPS Optimizer</t>
        </is>
      </c>
    </row>
    <row r="2">
      <c r="A2" t="inlineStr"/>
    </row>
    <row r="3">
      <c r="A3" t="inlineStr">
        <is>
          <t>Built for PLD99/NIN99.  Curated gear: 887 items, 39 augments, 12 weaponskills, 15 targets.</t>
        </is>
      </c>
    </row>
    <row r="4">
      <c r="A4" t="inlineStr"/>
    </row>
    <row r="5">
      <c r="A5" s="1" t="inlineStr">
        <is>
          <t>HOW TO USE</t>
        </is>
      </c>
    </row>
    <row r="6">
      <c r="A6" t="inlineStr">
        <is>
          <t>1. Go to the Build sheet.</t>
        </is>
      </c>
    </row>
    <row r="7">
      <c r="A7" t="inlineStr">
        <is>
          <t>2. Pick a Target and Weaponskill at the top, and set WS TP.</t>
        </is>
      </c>
    </row>
    <row r="8">
      <c r="A8" t="inlineStr">
        <is>
          <t>3. For each slot, choose an Item from the dropdown:</t>
        </is>
      </c>
    </row>
    <row r="9">
      <c r="A9" t="inlineStr">
        <is>
          <t xml:space="preserve">     (keep equipped) = your current piece (with its real augments)</t>
        </is>
      </c>
    </row>
    <row r="10">
      <c r="A10" t="inlineStr">
        <is>
          <t xml:space="preserve">     (none)          = nothing in that slot</t>
        </is>
      </c>
    </row>
    <row r="11">
      <c r="A11" t="inlineStr">
        <is>
          <t xml:space="preserve">     or any curated item the dropdown offers for that slot.</t>
        </is>
      </c>
    </row>
    <row r="12">
      <c r="A12" t="inlineStr">
        <is>
          <t>4. Optionally add an Augment (and Count 1-4 for stacked catalysts),</t>
        </is>
      </c>
    </row>
    <row r="13">
      <c r="A13" t="inlineStr">
        <is>
          <t xml:space="preserve">   or type a Free mod + value for an augment not in the catalog.</t>
        </is>
      </c>
    </row>
    <row r="14">
      <c r="A14" t="inlineStr">
        <is>
          <t>5. The Auto/WS/Rotation numbers on the Build sheet update instantly.</t>
        </is>
      </c>
    </row>
    <row r="15">
      <c r="A15" t="inlineStr"/>
    </row>
    <row r="16">
      <c r="A16" s="1" t="inlineStr">
        <is>
          <t>ACCURACY</t>
        </is>
      </c>
    </row>
    <row r="17">
      <c r="A17" t="inlineStr">
        <is>
          <t>All damage formulas are the server's own (ported from the Lua/C++).</t>
        </is>
      </c>
    </row>
    <row r="18">
      <c r="A18" t="inlineStr">
        <is>
          <t>The model anchors to your /mystats numbers on the Stats sheet, then</t>
        </is>
      </c>
    </row>
    <row r="19">
      <c r="A19" t="inlineStr">
        <is>
          <t>applies gear deltas. Keep the Stats sheet matching YOUR unbuffed,</t>
        </is>
      </c>
    </row>
    <row r="20">
      <c r="A20" t="inlineStr">
        <is>
          <t>no-food /mystats for the weapon you actually wield.</t>
        </is>
      </c>
    </row>
    <row r="21">
      <c r="A21" t="inlineStr">
        <is>
          <t>The 'engine baseline' column on Build shows the exact engine numbers</t>
        </is>
      </c>
    </row>
    <row r="22">
      <c r="A22" t="inlineStr">
        <is>
          <t>for the all-keep-equipped set so you can confirm the sheet agrees.</t>
        </is>
      </c>
    </row>
    <row r="23">
      <c r="A23" t="inlineStr"/>
    </row>
    <row r="24">
      <c r="A24" s="1" t="inlineStr">
        <is>
          <t>NOTES</t>
        </is>
      </c>
    </row>
    <row r="25">
      <c r="A25" t="inlineStr">
        <is>
          <t>- The weapon is fixed. To compare weapons, re-generate with that</t>
        </is>
      </c>
    </row>
    <row r="26">
      <c r="A26" t="inlineStr">
        <is>
          <t xml:space="preserve">  weapon equipped and a fresh /mystats anchor.</t>
        </is>
      </c>
    </row>
    <row r="27">
      <c r="A27" t="inlineStr">
        <is>
          <t>- 'keep equipped' uses your real augments; picking the same item by</t>
        </is>
      </c>
    </row>
    <row r="28">
      <c r="A28" t="inlineStr">
        <is>
          <t xml:space="preserve">  name instead gives its un-augmented base so you can re-augment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2" t="inlineStr">
        <is>
          <t>Gear / Augment DPS Optimizer</t>
        </is>
      </c>
    </row>
    <row r="2">
      <c r="A2" s="3" t="inlineStr">
        <is>
          <t>Pick an item + augment per slot. Numbers recompute live. "(keep equipped)" = your current piece.</t>
        </is>
      </c>
    </row>
    <row r="4">
      <c r="A4" s="4" t="inlineStr">
        <is>
          <t>Target:</t>
        </is>
      </c>
      <c r="B4" s="5" t="inlineStr">
        <is>
          <t>Leaping Lizzy</t>
        </is>
      </c>
    </row>
    <row r="5">
      <c r="A5" s="4" t="inlineStr">
        <is>
          <t>Weaponskill:</t>
        </is>
      </c>
      <c r="B5" s="5" t="inlineStr">
        <is>
          <t>chant_du_cygne</t>
        </is>
      </c>
    </row>
    <row r="6">
      <c r="A6" s="4" t="inlineStr">
        <is>
          <t>WS TP:</t>
        </is>
      </c>
      <c r="B6" s="5" t="n">
        <v>1000</v>
      </c>
    </row>
    <row r="8">
      <c r="A8" s="6" t="inlineStr">
        <is>
          <t>Result</t>
        </is>
      </c>
      <c r="B8" s="6" t="inlineStr">
        <is>
          <t>live</t>
        </is>
      </c>
      <c r="C8" s="6" t="inlineStr">
        <is>
          <t>engine baseline</t>
        </is>
      </c>
    </row>
    <row r="9">
      <c r="A9" s="4" t="inlineStr">
        <is>
          <t>Auto-attack DPS</t>
        </is>
      </c>
      <c r="B9" s="7">
        <f>Calc!$B$145</f>
        <v/>
      </c>
      <c r="C9" t="n">
        <v>434</v>
      </c>
    </row>
    <row r="10">
      <c r="A10" s="4" t="inlineStr">
        <is>
          <t>WS damage</t>
        </is>
      </c>
      <c r="B10" s="7">
        <f>Calc!$B$186</f>
        <v/>
      </c>
      <c r="C10" t="n">
        <v>37068.1</v>
      </c>
    </row>
    <row r="11">
      <c r="A11" s="4" t="inlineStr">
        <is>
          <t>Rotation DPS</t>
        </is>
      </c>
      <c r="B11" s="7">
        <f>Calc!$B$188</f>
        <v/>
      </c>
      <c r="C11" t="n">
        <v>2787.4</v>
      </c>
    </row>
    <row r="12">
      <c r="A12" s="8" t="inlineStr">
        <is>
          <t>(baseline = all slots "keep equipped", vs the default target/WS above)</t>
        </is>
      </c>
    </row>
    <row r="13">
      <c r="A13" s="6" t="inlineStr">
        <is>
          <t>Slot</t>
        </is>
      </c>
      <c r="B13" s="6" t="inlineStr">
        <is>
          <t>Item</t>
        </is>
      </c>
      <c r="C13" s="6" t="inlineStr">
        <is>
          <t>Augment</t>
        </is>
      </c>
      <c r="D13" s="6" t="inlineStr">
        <is>
          <t>Count</t>
        </is>
      </c>
      <c r="E13" s="6" t="inlineStr">
        <is>
          <t>Free mod 1</t>
        </is>
      </c>
      <c r="F13" s="6" t="inlineStr">
        <is>
          <t>Val 1</t>
        </is>
      </c>
      <c r="G13" s="6" t="inlineStr">
        <is>
          <t>Free mod 2</t>
        </is>
      </c>
      <c r="H13" s="6" t="inlineStr">
        <is>
          <t>Val 2</t>
        </is>
      </c>
    </row>
    <row r="14">
      <c r="A14" s="4" t="inlineStr">
        <is>
          <t>range</t>
        </is>
      </c>
      <c r="B14" s="5" t="inlineStr">
        <is>
          <t>(keep equipped)</t>
        </is>
      </c>
      <c r="C14" s="5" t="inlineStr">
        <is>
          <t>(none)</t>
        </is>
      </c>
      <c r="D14" s="5" t="n">
        <v>1</v>
      </c>
      <c r="E14" s="5" t="inlineStr">
        <is>
          <t>(none)</t>
        </is>
      </c>
      <c r="G14" s="5" t="inlineStr">
        <is>
          <t>(none)</t>
        </is>
      </c>
    </row>
    <row r="15">
      <c r="A15" s="4" t="inlineStr">
        <is>
          <t>ammo</t>
        </is>
      </c>
      <c r="B15" s="5" t="inlineStr">
        <is>
          <t>(keep equipped)</t>
        </is>
      </c>
      <c r="C15" s="5" t="inlineStr">
        <is>
          <t>(none)</t>
        </is>
      </c>
      <c r="D15" s="5" t="n">
        <v>1</v>
      </c>
      <c r="E15" s="5" t="inlineStr">
        <is>
          <t>(none)</t>
        </is>
      </c>
      <c r="G15" s="5" t="inlineStr">
        <is>
          <t>(none)</t>
        </is>
      </c>
    </row>
    <row r="16">
      <c r="A16" s="4" t="inlineStr">
        <is>
          <t>head</t>
        </is>
      </c>
      <c r="B16" s="5" t="inlineStr">
        <is>
          <t>(keep equipped)</t>
        </is>
      </c>
      <c r="C16" s="5" t="inlineStr">
        <is>
          <t>(none)</t>
        </is>
      </c>
      <c r="D16" s="5" t="n">
        <v>1</v>
      </c>
      <c r="E16" s="5" t="inlineStr">
        <is>
          <t>(none)</t>
        </is>
      </c>
      <c r="G16" s="5" t="inlineStr">
        <is>
          <t>(none)</t>
        </is>
      </c>
    </row>
    <row r="17">
      <c r="A17" s="4" t="inlineStr">
        <is>
          <t>body</t>
        </is>
      </c>
      <c r="B17" s="5" t="inlineStr">
        <is>
          <t>(keep equipped)</t>
        </is>
      </c>
      <c r="C17" s="5" t="inlineStr">
        <is>
          <t>(none)</t>
        </is>
      </c>
      <c r="D17" s="5" t="n">
        <v>1</v>
      </c>
      <c r="E17" s="5" t="inlineStr">
        <is>
          <t>(none)</t>
        </is>
      </c>
      <c r="G17" s="5" t="inlineStr">
        <is>
          <t>(none)</t>
        </is>
      </c>
    </row>
    <row r="18">
      <c r="A18" s="4" t="inlineStr">
        <is>
          <t>hands</t>
        </is>
      </c>
      <c r="B18" s="5" t="inlineStr">
        <is>
          <t>(keep equipped)</t>
        </is>
      </c>
      <c r="C18" s="5" t="inlineStr">
        <is>
          <t>(none)</t>
        </is>
      </c>
      <c r="D18" s="5" t="n">
        <v>1</v>
      </c>
      <c r="E18" s="5" t="inlineStr">
        <is>
          <t>(none)</t>
        </is>
      </c>
      <c r="G18" s="5" t="inlineStr">
        <is>
          <t>(none)</t>
        </is>
      </c>
    </row>
    <row r="19">
      <c r="A19" s="4" t="inlineStr">
        <is>
          <t>legs</t>
        </is>
      </c>
      <c r="B19" s="5" t="inlineStr">
        <is>
          <t>(keep equipped)</t>
        </is>
      </c>
      <c r="C19" s="5" t="inlineStr">
        <is>
          <t>(none)</t>
        </is>
      </c>
      <c r="D19" s="5" t="n">
        <v>1</v>
      </c>
      <c r="E19" s="5" t="inlineStr">
        <is>
          <t>(none)</t>
        </is>
      </c>
      <c r="G19" s="5" t="inlineStr">
        <is>
          <t>(none)</t>
        </is>
      </c>
    </row>
    <row r="20">
      <c r="A20" s="4" t="inlineStr">
        <is>
          <t>feet</t>
        </is>
      </c>
      <c r="B20" s="5" t="inlineStr">
        <is>
          <t>(keep equipped)</t>
        </is>
      </c>
      <c r="C20" s="5" t="inlineStr">
        <is>
          <t>(none)</t>
        </is>
      </c>
      <c r="D20" s="5" t="n">
        <v>1</v>
      </c>
      <c r="E20" s="5" t="inlineStr">
        <is>
          <t>(none)</t>
        </is>
      </c>
      <c r="G20" s="5" t="inlineStr">
        <is>
          <t>(none)</t>
        </is>
      </c>
    </row>
    <row r="21">
      <c r="A21" s="4" t="inlineStr">
        <is>
          <t>neck</t>
        </is>
      </c>
      <c r="B21" s="5" t="inlineStr">
        <is>
          <t>(keep equipped)</t>
        </is>
      </c>
      <c r="C21" s="5" t="inlineStr">
        <is>
          <t>(none)</t>
        </is>
      </c>
      <c r="D21" s="5" t="n">
        <v>1</v>
      </c>
      <c r="E21" s="5" t="inlineStr">
        <is>
          <t>(none)</t>
        </is>
      </c>
      <c r="G21" s="5" t="inlineStr">
        <is>
          <t>(none)</t>
        </is>
      </c>
    </row>
    <row r="22">
      <c r="A22" s="4" t="inlineStr">
        <is>
          <t>waist</t>
        </is>
      </c>
      <c r="B22" s="5" t="inlineStr">
        <is>
          <t>(keep equipped)</t>
        </is>
      </c>
      <c r="C22" s="5" t="inlineStr">
        <is>
          <t>(none)</t>
        </is>
      </c>
      <c r="D22" s="5" t="n">
        <v>1</v>
      </c>
      <c r="E22" s="5" t="inlineStr">
        <is>
          <t>(none)</t>
        </is>
      </c>
      <c r="G22" s="5" t="inlineStr">
        <is>
          <t>(none)</t>
        </is>
      </c>
    </row>
    <row r="23">
      <c r="A23" s="4" t="inlineStr">
        <is>
          <t>ear1</t>
        </is>
      </c>
      <c r="B23" s="5" t="inlineStr">
        <is>
          <t>(keep equipped)</t>
        </is>
      </c>
      <c r="C23" s="5" t="inlineStr">
        <is>
          <t>(none)</t>
        </is>
      </c>
      <c r="D23" s="5" t="n">
        <v>1</v>
      </c>
      <c r="E23" s="5" t="inlineStr">
        <is>
          <t>(none)</t>
        </is>
      </c>
      <c r="G23" s="5" t="inlineStr">
        <is>
          <t>(none)</t>
        </is>
      </c>
    </row>
    <row r="24">
      <c r="A24" s="4" t="inlineStr">
        <is>
          <t>ear2</t>
        </is>
      </c>
      <c r="B24" s="5" t="inlineStr">
        <is>
          <t>(keep equipped)</t>
        </is>
      </c>
      <c r="C24" s="5" t="inlineStr">
        <is>
          <t>(none)</t>
        </is>
      </c>
      <c r="D24" s="5" t="n">
        <v>1</v>
      </c>
      <c r="E24" s="5" t="inlineStr">
        <is>
          <t>(none)</t>
        </is>
      </c>
      <c r="G24" s="5" t="inlineStr">
        <is>
          <t>(none)</t>
        </is>
      </c>
    </row>
    <row r="25">
      <c r="A25" s="4" t="inlineStr">
        <is>
          <t>ring1</t>
        </is>
      </c>
      <c r="B25" s="5" t="inlineStr">
        <is>
          <t>(keep equipped)</t>
        </is>
      </c>
      <c r="C25" s="5" t="inlineStr">
        <is>
          <t>(none)</t>
        </is>
      </c>
      <c r="D25" s="5" t="n">
        <v>1</v>
      </c>
      <c r="E25" s="5" t="inlineStr">
        <is>
          <t>(none)</t>
        </is>
      </c>
      <c r="G25" s="5" t="inlineStr">
        <is>
          <t>(none)</t>
        </is>
      </c>
    </row>
    <row r="26">
      <c r="A26" s="4" t="inlineStr">
        <is>
          <t>ring2</t>
        </is>
      </c>
      <c r="B26" s="5" t="inlineStr">
        <is>
          <t>(keep equipped)</t>
        </is>
      </c>
      <c r="C26" s="5" t="inlineStr">
        <is>
          <t>(none)</t>
        </is>
      </c>
      <c r="D26" s="5" t="n">
        <v>1</v>
      </c>
      <c r="E26" s="5" t="inlineStr">
        <is>
          <t>(none)</t>
        </is>
      </c>
      <c r="G26" s="5" t="inlineStr">
        <is>
          <t>(none)</t>
        </is>
      </c>
    </row>
    <row r="27">
      <c r="A27" s="4" t="inlineStr">
        <is>
          <t>back</t>
        </is>
      </c>
      <c r="B27" s="5" t="inlineStr">
        <is>
          <t>(keep equipped)</t>
        </is>
      </c>
      <c r="C27" s="5" t="inlineStr">
        <is>
          <t>(none)</t>
        </is>
      </c>
      <c r="D27" s="5" t="n">
        <v>1</v>
      </c>
      <c r="E27" s="5" t="inlineStr">
        <is>
          <t>(none)</t>
        </is>
      </c>
      <c r="G27" s="5" t="inlineStr">
        <is>
          <t>(none)</t>
        </is>
      </c>
    </row>
  </sheetData>
  <dataValidations count="58">
    <dataValidation sqref="B4" showDropDown="0" showInputMessage="0" showErrorMessage="0" allowBlank="1" type="list">
      <formula1>=list_targets</formula1>
    </dataValidation>
    <dataValidation sqref="B5" showDropDown="0" showInputMessage="0" showErrorMessage="0" allowBlank="1" type="list">
      <formula1>=list_ws</formula1>
    </dataValidation>
    <dataValidation sqref="B14" showDropDown="0" showInputMessage="0" showErrorMessage="0" allowBlank="1" type="list">
      <formula1>=list_slot2</formula1>
    </dataValidation>
    <dataValidation sqref="C14" showDropDown="0" showInputMessage="0" showErrorMessage="0" allowBlank="1" type="list">
      <formula1>=list_augs</formula1>
    </dataValidation>
    <dataValidation sqref="E14 G14" showDropDown="0" showInputMessage="0" showErrorMessage="0" allowBlank="1" type="list">
      <formula1>=list_freemods</formula1>
    </dataValidation>
    <dataValidation sqref="D14" showDropDown="0" showInputMessage="0" showErrorMessage="0" allowBlank="1" type="whole" operator="between">
      <formula1>0</formula1>
      <formula2>4</formula2>
    </dataValidation>
    <dataValidation sqref="B15" showDropDown="0" showInputMessage="0" showErrorMessage="0" allowBlank="1" type="list">
      <formula1>=list_slot3</formula1>
    </dataValidation>
    <dataValidation sqref="C15" showDropDown="0" showInputMessage="0" showErrorMessage="0" allowBlank="1" type="list">
      <formula1>=list_augs</formula1>
    </dataValidation>
    <dataValidation sqref="E15 G15" showDropDown="0" showInputMessage="0" showErrorMessage="0" allowBlank="1" type="list">
      <formula1>=list_freemods</formula1>
    </dataValidation>
    <dataValidation sqref="D15" showDropDown="0" showInputMessage="0" showErrorMessage="0" allowBlank="1" type="whole" operator="between">
      <formula1>0</formula1>
      <formula2>4</formula2>
    </dataValidation>
    <dataValidation sqref="B16" showDropDown="0" showInputMessage="0" showErrorMessage="0" allowBlank="1" type="list">
      <formula1>=list_slot4</formula1>
    </dataValidation>
    <dataValidation sqref="C16" showDropDown="0" showInputMessage="0" showErrorMessage="0" allowBlank="1" type="list">
      <formula1>=list_augs</formula1>
    </dataValidation>
    <dataValidation sqref="E16 G16" showDropDown="0" showInputMessage="0" showErrorMessage="0" allowBlank="1" type="list">
      <formula1>=list_freemods</formula1>
    </dataValidation>
    <dataValidation sqref="D16" showDropDown="0" showInputMessage="0" showErrorMessage="0" allowBlank="1" type="whole" operator="between">
      <formula1>0</formula1>
      <formula2>4</formula2>
    </dataValidation>
    <dataValidation sqref="B17" showDropDown="0" showInputMessage="0" showErrorMessage="0" allowBlank="1" type="list">
      <formula1>=list_slot5</formula1>
    </dataValidation>
    <dataValidation sqref="C17" showDropDown="0" showInputMessage="0" showErrorMessage="0" allowBlank="1" type="list">
      <formula1>=list_augs</formula1>
    </dataValidation>
    <dataValidation sqref="E17 G17" showDropDown="0" showInputMessage="0" showErrorMessage="0" allowBlank="1" type="list">
      <formula1>=list_freemods</formula1>
    </dataValidation>
    <dataValidation sqref="D17" showDropDown="0" showInputMessage="0" showErrorMessage="0" allowBlank="1" type="whole" operator="between">
      <formula1>0</formula1>
      <formula2>4</formula2>
    </dataValidation>
    <dataValidation sqref="B18" showDropDown="0" showInputMessage="0" showErrorMessage="0" allowBlank="1" type="list">
      <formula1>=list_slot6</formula1>
    </dataValidation>
    <dataValidation sqref="C18" showDropDown="0" showInputMessage="0" showErrorMessage="0" allowBlank="1" type="list">
      <formula1>=list_augs</formula1>
    </dataValidation>
    <dataValidation sqref="E18 G18" showDropDown="0" showInputMessage="0" showErrorMessage="0" allowBlank="1" type="list">
      <formula1>=list_freemods</formula1>
    </dataValidation>
    <dataValidation sqref="D18" showDropDown="0" showInputMessage="0" showErrorMessage="0" allowBlank="1" type="whole" operator="between">
      <formula1>0</formula1>
      <formula2>4</formula2>
    </dataValidation>
    <dataValidation sqref="B19" showDropDown="0" showInputMessage="0" showErrorMessage="0" allowBlank="1" type="list">
      <formula1>=list_slot7</formula1>
    </dataValidation>
    <dataValidation sqref="C19" showDropDown="0" showInputMessage="0" showErrorMessage="0" allowBlank="1" type="list">
      <formula1>=list_augs</formula1>
    </dataValidation>
    <dataValidation sqref="E19 G19" showDropDown="0" showInputMessage="0" showErrorMessage="0" allowBlank="1" type="list">
      <formula1>=list_freemods</formula1>
    </dataValidation>
    <dataValidation sqref="D19" showDropDown="0" showInputMessage="0" showErrorMessage="0" allowBlank="1" type="whole" operator="between">
      <formula1>0</formula1>
      <formula2>4</formula2>
    </dataValidation>
    <dataValidation sqref="B20" showDropDown="0" showInputMessage="0" showErrorMessage="0" allowBlank="1" type="list">
      <formula1>=list_slot8</formula1>
    </dataValidation>
    <dataValidation sqref="C20" showDropDown="0" showInputMessage="0" showErrorMessage="0" allowBlank="1" type="list">
      <formula1>=list_augs</formula1>
    </dataValidation>
    <dataValidation sqref="E20 G20" showDropDown="0" showInputMessage="0" showErrorMessage="0" allowBlank="1" type="list">
      <formula1>=list_freemods</formula1>
    </dataValidation>
    <dataValidation sqref="D20" showDropDown="0" showInputMessage="0" showErrorMessage="0" allowBlank="1" type="whole" operator="between">
      <formula1>0</formula1>
      <formula2>4</formula2>
    </dataValidation>
    <dataValidation sqref="B21" showDropDown="0" showInputMessage="0" showErrorMessage="0" allowBlank="1" type="list">
      <formula1>=list_slot9</formula1>
    </dataValidation>
    <dataValidation sqref="C21" showDropDown="0" showInputMessage="0" showErrorMessage="0" allowBlank="1" type="list">
      <formula1>=list_augs</formula1>
    </dataValidation>
    <dataValidation sqref="E21 G21" showDropDown="0" showInputMessage="0" showErrorMessage="0" allowBlank="1" type="list">
      <formula1>=list_freemods</formula1>
    </dataValidation>
    <dataValidation sqref="D21" showDropDown="0" showInputMessage="0" showErrorMessage="0" allowBlank="1" type="whole" operator="between">
      <formula1>0</formula1>
      <formula2>4</formula2>
    </dataValidation>
    <dataValidation sqref="B22" showDropDown="0" showInputMessage="0" showErrorMessage="0" allowBlank="1" type="list">
      <formula1>=list_slot10</formula1>
    </dataValidation>
    <dataValidation sqref="C22" showDropDown="0" showInputMessage="0" showErrorMessage="0" allowBlank="1" type="list">
      <formula1>=list_augs</formula1>
    </dataValidation>
    <dataValidation sqref="E22 G22" showDropDown="0" showInputMessage="0" showErrorMessage="0" allowBlank="1" type="list">
      <formula1>=list_freemods</formula1>
    </dataValidation>
    <dataValidation sqref="D22" showDropDown="0" showInputMessage="0" showErrorMessage="0" allowBlank="1" type="whole" operator="between">
      <formula1>0</formula1>
      <formula2>4</formula2>
    </dataValidation>
    <dataValidation sqref="B23" showDropDown="0" showInputMessage="0" showErrorMessage="0" allowBlank="1" type="list">
      <formula1>=list_slot11</formula1>
    </dataValidation>
    <dataValidation sqref="C23" showDropDown="0" showInputMessage="0" showErrorMessage="0" allowBlank="1" type="list">
      <formula1>=list_augs</formula1>
    </dataValidation>
    <dataValidation sqref="E23 G23" showDropDown="0" showInputMessage="0" showErrorMessage="0" allowBlank="1" type="list">
      <formula1>=list_freemods</formula1>
    </dataValidation>
    <dataValidation sqref="D23" showDropDown="0" showInputMessage="0" showErrorMessage="0" allowBlank="1" type="whole" operator="between">
      <formula1>0</formula1>
      <formula2>4</formula2>
    </dataValidation>
    <dataValidation sqref="B24" showDropDown="0" showInputMessage="0" showErrorMessage="0" allowBlank="1" type="list">
      <formula1>=list_slot12</formula1>
    </dataValidation>
    <dataValidation sqref="C24" showDropDown="0" showInputMessage="0" showErrorMessage="0" allowBlank="1" type="list">
      <formula1>=list_augs</formula1>
    </dataValidation>
    <dataValidation sqref="E24 G24" showDropDown="0" showInputMessage="0" showErrorMessage="0" allowBlank="1" type="list">
      <formula1>=list_freemods</formula1>
    </dataValidation>
    <dataValidation sqref="D24" showDropDown="0" showInputMessage="0" showErrorMessage="0" allowBlank="1" type="whole" operator="between">
      <formula1>0</formula1>
      <formula2>4</formula2>
    </dataValidation>
    <dataValidation sqref="B25" showDropDown="0" showInputMessage="0" showErrorMessage="0" allowBlank="1" type="list">
      <formula1>=list_slot13</formula1>
    </dataValidation>
    <dataValidation sqref="C25" showDropDown="0" showInputMessage="0" showErrorMessage="0" allowBlank="1" type="list">
      <formula1>=list_augs</formula1>
    </dataValidation>
    <dataValidation sqref="E25 G25" showDropDown="0" showInputMessage="0" showErrorMessage="0" allowBlank="1" type="list">
      <formula1>=list_freemods</formula1>
    </dataValidation>
    <dataValidation sqref="D25" showDropDown="0" showInputMessage="0" showErrorMessage="0" allowBlank="1" type="whole" operator="between">
      <formula1>0</formula1>
      <formula2>4</formula2>
    </dataValidation>
    <dataValidation sqref="B26" showDropDown="0" showInputMessage="0" showErrorMessage="0" allowBlank="1" type="list">
      <formula1>=list_slot14</formula1>
    </dataValidation>
    <dataValidation sqref="C26" showDropDown="0" showInputMessage="0" showErrorMessage="0" allowBlank="1" type="list">
      <formula1>=list_augs</formula1>
    </dataValidation>
    <dataValidation sqref="E26 G26" showDropDown="0" showInputMessage="0" showErrorMessage="0" allowBlank="1" type="list">
      <formula1>=list_freemods</formula1>
    </dataValidation>
    <dataValidation sqref="D26" showDropDown="0" showInputMessage="0" showErrorMessage="0" allowBlank="1" type="whole" operator="between">
      <formula1>0</formula1>
      <formula2>4</formula2>
    </dataValidation>
    <dataValidation sqref="B27" showDropDown="0" showInputMessage="0" showErrorMessage="0" allowBlank="1" type="list">
      <formula1>=list_slot15</formula1>
    </dataValidation>
    <dataValidation sqref="C27" showDropDown="0" showInputMessage="0" showErrorMessage="0" allowBlank="1" type="list">
      <formula1>=list_augs</formula1>
    </dataValidation>
    <dataValidation sqref="E27 G27" showDropDown="0" showInputMessage="0" showErrorMessage="0" allowBlank="1" type="list">
      <formula1>=list_freemods</formula1>
    </dataValidation>
    <dataValidation sqref="D27" showDropDown="0" showInputMessage="0" showErrorMessage="0" allowBlank="1" type="whole" operator="between">
      <formula1>0</formula1>
      <formula2>4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50" customWidth="1" min="3" max="3"/>
  </cols>
  <sheetData>
    <row r="1">
      <c r="A1" s="6" t="inlineStr">
        <is>
          <t>Your !mystats anchor</t>
        </is>
      </c>
      <c r="B1" s="9" t="n"/>
    </row>
    <row r="2">
      <c r="A2" s="10" t="inlineStr">
        <is>
          <t>EDIT these to match YOUR /mystats (unbuffed, no food).</t>
        </is>
      </c>
    </row>
    <row r="4">
      <c r="A4" t="inlineStr">
        <is>
          <t>STR</t>
        </is>
      </c>
      <c r="B4" s="5" t="n">
        <v>180</v>
      </c>
    </row>
    <row r="5">
      <c r="A5" t="inlineStr">
        <is>
          <t>DEX</t>
        </is>
      </c>
      <c r="B5" s="5" t="n">
        <v>175</v>
      </c>
    </row>
    <row r="6">
      <c r="A6" t="inlineStr">
        <is>
          <t>VIT</t>
        </is>
      </c>
      <c r="B6" s="5" t="n">
        <v>210</v>
      </c>
    </row>
    <row r="7">
      <c r="A7" t="inlineStr">
        <is>
          <t>AGI</t>
        </is>
      </c>
      <c r="B7" s="5" t="n">
        <v>160</v>
      </c>
    </row>
    <row r="8">
      <c r="A8" t="inlineStr">
        <is>
          <t>INT</t>
        </is>
      </c>
      <c r="B8" s="5" t="n">
        <v>140</v>
      </c>
    </row>
    <row r="9">
      <c r="A9" t="inlineStr">
        <is>
          <t>MND</t>
        </is>
      </c>
      <c r="B9" s="5" t="n">
        <v>200</v>
      </c>
    </row>
    <row r="10">
      <c r="A10" t="inlineStr">
        <is>
          <t>CHR</t>
        </is>
      </c>
      <c r="B10" s="5" t="n">
        <v>150</v>
      </c>
    </row>
    <row r="11">
      <c r="A11" t="inlineStr">
        <is>
          <t>Melee ATT</t>
        </is>
      </c>
      <c r="B11" s="5" t="n">
        <v>1250</v>
      </c>
    </row>
    <row r="12">
      <c r="A12" t="inlineStr">
        <is>
          <t>Melee ACC</t>
        </is>
      </c>
      <c r="B12" s="5" t="n">
        <v>1180</v>
      </c>
    </row>
    <row r="13">
      <c r="A13" t="inlineStr">
        <is>
          <t>Wpn dmg</t>
        </is>
      </c>
      <c r="B13" s="5" t="n">
        <v>181</v>
      </c>
    </row>
    <row r="14">
      <c r="A14" t="inlineStr">
        <is>
          <t>Crit hit rate %</t>
        </is>
      </c>
      <c r="B14" s="5" t="n">
        <v>8</v>
      </c>
    </row>
    <row r="15">
      <c r="A15" t="inlineStr">
        <is>
          <t>Crit dmg +%</t>
        </is>
      </c>
      <c r="B15" s="5" t="n">
        <v>0</v>
      </c>
    </row>
    <row r="16">
      <c r="A16" t="inlineStr">
        <is>
          <t>Dbl Atk %</t>
        </is>
      </c>
      <c r="B16" s="5" t="n">
        <v>0</v>
      </c>
    </row>
    <row r="17">
      <c r="A17" t="inlineStr">
        <is>
          <t>Trpl Atk %</t>
        </is>
      </c>
      <c r="B17" s="5" t="n">
        <v>2</v>
      </c>
    </row>
    <row r="18">
      <c r="A18" t="inlineStr">
        <is>
          <t>Quad Atk %</t>
        </is>
      </c>
      <c r="B18" s="5" t="n">
        <v>34</v>
      </c>
    </row>
    <row r="19">
      <c r="A19" t="inlineStr">
        <is>
          <t>Haste-Gear (1%=100)</t>
        </is>
      </c>
      <c r="B19" s="5" t="n">
        <v>2100</v>
      </c>
    </row>
    <row r="20">
      <c r="A20" t="inlineStr">
        <is>
          <t>Haste-Magic (1%=100)</t>
        </is>
      </c>
      <c r="B20" s="5" t="n">
        <v>0</v>
      </c>
    </row>
    <row r="21">
      <c r="A21" t="inlineStr">
        <is>
          <t>Haste-Ability (1%=100)</t>
        </is>
      </c>
      <c r="B21" s="5" t="n">
        <v>0</v>
      </c>
    </row>
    <row r="22">
      <c r="A22" t="inlineStr">
        <is>
          <t>Dual Wield %</t>
        </is>
      </c>
      <c r="B22" s="5" t="n">
        <v>0</v>
      </c>
    </row>
    <row r="23">
      <c r="A23" t="inlineStr">
        <is>
          <t>Store TP</t>
        </is>
      </c>
      <c r="B23" s="5" t="n">
        <v>30</v>
      </c>
    </row>
    <row r="24">
      <c r="A24" t="inlineStr">
        <is>
          <t>TP Bonus</t>
        </is>
      </c>
      <c r="B24" s="5" t="n">
        <v>0</v>
      </c>
    </row>
    <row r="25">
      <c r="A25" t="inlineStr">
        <is>
          <t>WS dmg all hits %</t>
        </is>
      </c>
      <c r="B25" s="5" t="n">
        <v>0</v>
      </c>
    </row>
    <row r="26">
      <c r="A26" t="inlineStr">
        <is>
          <t>WS dmg 1st hit %</t>
        </is>
      </c>
      <c r="B26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6" t="inlineStr">
        <is>
          <t>slot</t>
        </is>
      </c>
      <c r="B1" s="6" t="inlineStr">
        <is>
          <t>itemRow</t>
        </is>
      </c>
      <c r="C1" s="6" t="inlineStr">
        <is>
          <t>augRow</t>
        </is>
      </c>
      <c r="D1" s="6" t="inlineStr">
        <is>
          <t>STR</t>
        </is>
      </c>
      <c r="E1" s="6" t="inlineStr">
        <is>
          <t>DEX</t>
        </is>
      </c>
      <c r="F1" s="6" t="inlineStr">
        <is>
          <t>VIT</t>
        </is>
      </c>
      <c r="G1" s="6" t="inlineStr">
        <is>
          <t>AGI</t>
        </is>
      </c>
      <c r="H1" s="6" t="inlineStr">
        <is>
          <t>INT</t>
        </is>
      </c>
      <c r="I1" s="6" t="inlineStr">
        <is>
          <t>MND</t>
        </is>
      </c>
      <c r="J1" s="6" t="inlineStr">
        <is>
          <t>CHR</t>
        </is>
      </c>
      <c r="K1" s="6" t="inlineStr">
        <is>
          <t>ATT</t>
        </is>
      </c>
      <c r="L1" s="6" t="inlineStr">
        <is>
          <t>ATTP</t>
        </is>
      </c>
      <c r="M1" s="6" t="inlineStr">
        <is>
          <t>ACC</t>
        </is>
      </c>
      <c r="N1" s="6" t="inlineStr">
        <is>
          <t>CRITHITRATE</t>
        </is>
      </c>
      <c r="O1" s="6" t="inlineStr">
        <is>
          <t>CRIT_DMG_INCREASE</t>
        </is>
      </c>
      <c r="P1" s="6" t="inlineStr">
        <is>
          <t>DOUBLE_ATTACK</t>
        </is>
      </c>
      <c r="Q1" s="6" t="inlineStr">
        <is>
          <t>TRIPLE_ATTACK</t>
        </is>
      </c>
      <c r="R1" s="6" t="inlineStr">
        <is>
          <t>QUAD_ATTACK</t>
        </is>
      </c>
      <c r="S1" s="6" t="inlineStr">
        <is>
          <t>HASTE_GEAR</t>
        </is>
      </c>
      <c r="T1" s="6" t="inlineStr">
        <is>
          <t>HASTE_MAGIC</t>
        </is>
      </c>
      <c r="U1" s="6" t="inlineStr">
        <is>
          <t>HASTE_ABILITY</t>
        </is>
      </c>
      <c r="V1" s="6" t="inlineStr">
        <is>
          <t>DUAL_WIELD</t>
        </is>
      </c>
      <c r="W1" s="6" t="inlineStr">
        <is>
          <t>STORETP</t>
        </is>
      </c>
      <c r="X1" s="6" t="inlineStr">
        <is>
          <t>TP_BONUS</t>
        </is>
      </c>
      <c r="Y1" s="6" t="inlineStr">
        <is>
          <t>ALL_WSDMG_ALL_HITS</t>
        </is>
      </c>
      <c r="Z1" s="6" t="inlineStr">
        <is>
          <t>ALL_WSDMG_FIRST_HIT</t>
        </is>
      </c>
      <c r="AA1" s="6" t="inlineStr">
        <is>
          <t>ANY_FTP_BONUS</t>
        </is>
      </c>
      <c r="AB1" s="6" t="inlineStr">
        <is>
          <t>WSACC</t>
        </is>
      </c>
      <c r="AC1" s="6" t="inlineStr">
        <is>
          <t>WSDMG_225</t>
        </is>
      </c>
    </row>
    <row r="2">
      <c r="A2" t="inlineStr">
        <is>
          <t>range</t>
        </is>
      </c>
      <c r="B2">
        <f>IFERROR(MATCH(Build!$B$14,GearDB_names,0),0)</f>
        <v/>
      </c>
      <c r="C2">
        <f>IFERROR(MATCH(Build!$C$14,AugDB_labels,0),0)</f>
        <v/>
      </c>
      <c r="D2">
        <f>IF(Build!$B$14="(keep equipped)",EquipBase!$B$2,IF(OR(Build!$B$14="(none)",Build!$B$14=""),0,IFERROR(INDEX(GearDB_STR,$B$2),0)))+IF(Build!$B$14="(keep equipped)",0,IF($C$2&gt;0,Build!$D$14*INDEX(AugDB_STR,$C$2),0)+IF(Build!$E$14="STR",Build!$F$14,0)+IF(Build!$G$14="STR",Build!$H$14,0))</f>
        <v/>
      </c>
      <c r="E2">
        <f>IF(Build!$B$14="(keep equipped)",EquipBase!$C$2,IF(OR(Build!$B$14="(none)",Build!$B$14=""),0,IFERROR(INDEX(GearDB_DEX,$B$2),0)))+IF(Build!$B$14="(keep equipped)",0,IF($C$2&gt;0,Build!$D$14*INDEX(AugDB_DEX,$C$2),0)+IF(Build!$E$14="DEX",Build!$F$14,0)+IF(Build!$G$14="DEX",Build!$H$14,0))</f>
        <v/>
      </c>
      <c r="F2">
        <f>IF(Build!$B$14="(keep equipped)",EquipBase!$D$2,IF(OR(Build!$B$14="(none)",Build!$B$14=""),0,IFERROR(INDEX(GearDB_VIT,$B$2),0)))+IF(Build!$B$14="(keep equipped)",0,IF($C$2&gt;0,Build!$D$14*INDEX(AugDB_VIT,$C$2),0)+IF(Build!$E$14="VIT",Build!$F$14,0)+IF(Build!$G$14="VIT",Build!$H$14,0))</f>
        <v/>
      </c>
      <c r="G2">
        <f>IF(Build!$B$14="(keep equipped)",EquipBase!$E$2,IF(OR(Build!$B$14="(none)",Build!$B$14=""),0,IFERROR(INDEX(GearDB_AGI,$B$2),0)))+IF(Build!$B$14="(keep equipped)",0,IF($C$2&gt;0,Build!$D$14*INDEX(AugDB_AGI,$C$2),0)+IF(Build!$E$14="AGI",Build!$F$14,0)+IF(Build!$G$14="AGI",Build!$H$14,0))</f>
        <v/>
      </c>
      <c r="H2">
        <f>IF(Build!$B$14="(keep equipped)",EquipBase!$F$2,IF(OR(Build!$B$14="(none)",Build!$B$14=""),0,IFERROR(INDEX(GearDB_INT,$B$2),0)))+IF(Build!$B$14="(keep equipped)",0,IF($C$2&gt;0,Build!$D$14*INDEX(AugDB_INT,$C$2),0)+IF(Build!$E$14="INT",Build!$F$14,0)+IF(Build!$G$14="INT",Build!$H$14,0))</f>
        <v/>
      </c>
      <c r="I2">
        <f>IF(Build!$B$14="(keep equipped)",EquipBase!$G$2,IF(OR(Build!$B$14="(none)",Build!$B$14=""),0,IFERROR(INDEX(GearDB_MND,$B$2),0)))+IF(Build!$B$14="(keep equipped)",0,IF($C$2&gt;0,Build!$D$14*INDEX(AugDB_MND,$C$2),0)+IF(Build!$E$14="MND",Build!$F$14,0)+IF(Build!$G$14="MND",Build!$H$14,0))</f>
        <v/>
      </c>
      <c r="J2">
        <f>IF(Build!$B$14="(keep equipped)",EquipBase!$H$2,IF(OR(Build!$B$14="(none)",Build!$B$14=""),0,IFERROR(INDEX(GearDB_CHR,$B$2),0)))+IF(Build!$B$14="(keep equipped)",0,IF($C$2&gt;0,Build!$D$14*INDEX(AugDB_CHR,$C$2),0)+IF(Build!$E$14="CHR",Build!$F$14,0)+IF(Build!$G$14="CHR",Build!$H$14,0))</f>
        <v/>
      </c>
      <c r="K2">
        <f>IF(Build!$B$14="(keep equipped)",EquipBase!$I$2,IF(OR(Build!$B$14="(none)",Build!$B$14=""),0,IFERROR(INDEX(GearDB_ATT,$B$2),0)))+IF(Build!$B$14="(keep equipped)",0,IF($C$2&gt;0,Build!$D$14*INDEX(AugDB_ATT,$C$2),0)+IF(Build!$E$14="ATT",Build!$F$14,0)+IF(Build!$G$14="ATT",Build!$H$14,0))</f>
        <v/>
      </c>
      <c r="L2">
        <f>IF(Build!$B$14="(keep equipped)",EquipBase!$J$2,IF(OR(Build!$B$14="(none)",Build!$B$14=""),0,IFERROR(INDEX(GearDB_ATTP,$B$2),0)))+IF(Build!$B$14="(keep equipped)",0,IF($C$2&gt;0,Build!$D$14*INDEX(AugDB_ATTP,$C$2),0)+IF(Build!$E$14="ATTP",Build!$F$14,0)+IF(Build!$G$14="ATTP",Build!$H$14,0))</f>
        <v/>
      </c>
      <c r="M2">
        <f>IF(Build!$B$14="(keep equipped)",EquipBase!$K$2,IF(OR(Build!$B$14="(none)",Build!$B$14=""),0,IFERROR(INDEX(GearDB_ACC,$B$2),0)))+IF(Build!$B$14="(keep equipped)",0,IF($C$2&gt;0,Build!$D$14*INDEX(AugDB_ACC,$C$2),0)+IF(Build!$E$14="ACC",Build!$F$14,0)+IF(Build!$G$14="ACC",Build!$H$14,0))</f>
        <v/>
      </c>
      <c r="N2">
        <f>IF(Build!$B$14="(keep equipped)",EquipBase!$L$2,IF(OR(Build!$B$14="(none)",Build!$B$14=""),0,IFERROR(INDEX(GearDB_CRITHITRATE,$B$2),0)))+IF(Build!$B$14="(keep equipped)",0,IF($C$2&gt;0,Build!$D$14*INDEX(AugDB_CRITHITRATE,$C$2),0)+IF(Build!$E$14="CRITHITRATE",Build!$F$14,0)+IF(Build!$G$14="CRITHITRATE",Build!$H$14,0))</f>
        <v/>
      </c>
      <c r="O2">
        <f>IF(Build!$B$14="(keep equipped)",EquipBase!$M$2,IF(OR(Build!$B$14="(none)",Build!$B$14=""),0,IFERROR(INDEX(GearDB_CRIT_DMG_INCREASE,$B$2),0)))+IF(Build!$B$14="(keep equipped)",0,IF($C$2&gt;0,Build!$D$14*INDEX(AugDB_CRIT_DMG_INCREASE,$C$2),0)+IF(Build!$E$14="CRIT_DMG_INCREASE",Build!$F$14,0)+IF(Build!$G$14="CRIT_DMG_INCREASE",Build!$H$14,0))</f>
        <v/>
      </c>
      <c r="P2">
        <f>IF(Build!$B$14="(keep equipped)",EquipBase!$N$2,IF(OR(Build!$B$14="(none)",Build!$B$14=""),0,IFERROR(INDEX(GearDB_DOUBLE_ATTACK,$B$2),0)))+IF(Build!$B$14="(keep equipped)",0,IF($C$2&gt;0,Build!$D$14*INDEX(AugDB_DOUBLE_ATTACK,$C$2),0)+IF(Build!$E$14="DOUBLE_ATTACK",Build!$F$14,0)+IF(Build!$G$14="DOUBLE_ATTACK",Build!$H$14,0))</f>
        <v/>
      </c>
      <c r="Q2">
        <f>IF(Build!$B$14="(keep equipped)",EquipBase!$O$2,IF(OR(Build!$B$14="(none)",Build!$B$14=""),0,IFERROR(INDEX(GearDB_TRIPLE_ATTACK,$B$2),0)))+IF(Build!$B$14="(keep equipped)",0,IF($C$2&gt;0,Build!$D$14*INDEX(AugDB_TRIPLE_ATTACK,$C$2),0)+IF(Build!$E$14="TRIPLE_ATTACK",Build!$F$14,0)+IF(Build!$G$14="TRIPLE_ATTACK",Build!$H$14,0))</f>
        <v/>
      </c>
      <c r="R2">
        <f>IF(Build!$B$14="(keep equipped)",EquipBase!$P$2,IF(OR(Build!$B$14="(none)",Build!$B$14=""),0,IFERROR(INDEX(GearDB_QUAD_ATTACK,$B$2),0)))+IF(Build!$B$14="(keep equipped)",0,IF($C$2&gt;0,Build!$D$14*INDEX(AugDB_QUAD_ATTACK,$C$2),0)+IF(Build!$E$14="QUAD_ATTACK",Build!$F$14,0)+IF(Build!$G$14="QUAD_ATTACK",Build!$H$14,0))</f>
        <v/>
      </c>
      <c r="S2">
        <f>IF(Build!$B$14="(keep equipped)",EquipBase!$Q$2,IF(OR(Build!$B$14="(none)",Build!$B$14=""),0,IFERROR(INDEX(GearDB_HASTE_GEAR,$B$2),0)))+IF(Build!$B$14="(keep equipped)",0,IF($C$2&gt;0,Build!$D$14*INDEX(AugDB_HASTE_GEAR,$C$2),0)+IF(Build!$E$14="HASTE_GEAR",Build!$F$14,0)+IF(Build!$G$14="HASTE_GEAR",Build!$H$14,0))</f>
        <v/>
      </c>
      <c r="T2">
        <f>IF(Build!$B$14="(keep equipped)",EquipBase!$R$2,IF(OR(Build!$B$14="(none)",Build!$B$14=""),0,IFERROR(INDEX(GearDB_HASTE_MAGIC,$B$2),0)))+IF(Build!$B$14="(keep equipped)",0,IF($C$2&gt;0,Build!$D$14*INDEX(AugDB_HASTE_MAGIC,$C$2),0)+IF(Build!$E$14="HASTE_MAGIC",Build!$F$14,0)+IF(Build!$G$14="HASTE_MAGIC",Build!$H$14,0))</f>
        <v/>
      </c>
      <c r="U2">
        <f>IF(Build!$B$14="(keep equipped)",EquipBase!$S$2,IF(OR(Build!$B$14="(none)",Build!$B$14=""),0,IFERROR(INDEX(GearDB_HASTE_ABILITY,$B$2),0)))+IF(Build!$B$14="(keep equipped)",0,IF($C$2&gt;0,Build!$D$14*INDEX(AugDB_HASTE_ABILITY,$C$2),0)+IF(Build!$E$14="HASTE_ABILITY",Build!$F$14,0)+IF(Build!$G$14="HASTE_ABILITY",Build!$H$14,0))</f>
        <v/>
      </c>
      <c r="V2">
        <f>IF(Build!$B$14="(keep equipped)",EquipBase!$T$2,IF(OR(Build!$B$14="(none)",Build!$B$14=""),0,IFERROR(INDEX(GearDB_DUAL_WIELD,$B$2),0)))+IF(Build!$B$14="(keep equipped)",0,IF($C$2&gt;0,Build!$D$14*INDEX(AugDB_DUAL_WIELD,$C$2),0)+IF(Build!$E$14="DUAL_WIELD",Build!$F$14,0)+IF(Build!$G$14="DUAL_WIELD",Build!$H$14,0))</f>
        <v/>
      </c>
      <c r="W2">
        <f>IF(Build!$B$14="(keep equipped)",EquipBase!$U$2,IF(OR(Build!$B$14="(none)",Build!$B$14=""),0,IFERROR(INDEX(GearDB_STORETP,$B$2),0)))+IF(Build!$B$14="(keep equipped)",0,IF($C$2&gt;0,Build!$D$14*INDEX(AugDB_STORETP,$C$2),0)+IF(Build!$E$14="STORETP",Build!$F$14,0)+IF(Build!$G$14="STORETP",Build!$H$14,0))</f>
        <v/>
      </c>
      <c r="X2">
        <f>IF(Build!$B$14="(keep equipped)",EquipBase!$V$2,IF(OR(Build!$B$14="(none)",Build!$B$14=""),0,IFERROR(INDEX(GearDB_TP_BONUS,$B$2),0)))+IF(Build!$B$14="(keep equipped)",0,IF($C$2&gt;0,Build!$D$14*INDEX(AugDB_TP_BONUS,$C$2),0)+IF(Build!$E$14="TP_BONUS",Build!$F$14,0)+IF(Build!$G$14="TP_BONUS",Build!$H$14,0))</f>
        <v/>
      </c>
      <c r="Y2">
        <f>IF(Build!$B$14="(keep equipped)",EquipBase!$W$2,IF(OR(Build!$B$14="(none)",Build!$B$14=""),0,IFERROR(INDEX(GearDB_ALL_WSDMG_ALL_HITS,$B$2),0)))+IF(Build!$B$14="(keep equipped)",0,IF($C$2&gt;0,Build!$D$14*INDEX(AugDB_ALL_WSDMG_ALL_HITS,$C$2),0)+IF(Build!$E$14="ALL_WSDMG_ALL_HITS",Build!$F$14,0)+IF(Build!$G$14="ALL_WSDMG_ALL_HITS",Build!$H$14,0))</f>
        <v/>
      </c>
      <c r="Z2">
        <f>IF(Build!$B$14="(keep equipped)",EquipBase!$X$2,IF(OR(Build!$B$14="(none)",Build!$B$14=""),0,IFERROR(INDEX(GearDB_ALL_WSDMG_FIRST_HIT,$B$2),0)))+IF(Build!$B$14="(keep equipped)",0,IF($C$2&gt;0,Build!$D$14*INDEX(AugDB_ALL_WSDMG_FIRST_HIT,$C$2),0)+IF(Build!$E$14="ALL_WSDMG_FIRST_HIT",Build!$F$14,0)+IF(Build!$G$14="ALL_WSDMG_FIRST_HIT",Build!$H$14,0))</f>
        <v/>
      </c>
      <c r="AA2">
        <f>IF(Build!$B$14="(keep equipped)",EquipBase!$Y$2,IF(OR(Build!$B$14="(none)",Build!$B$14=""),0,IFERROR(INDEX(GearDB_ANY_FTP_BONUS,$B$2),0)))+IF(Build!$B$14="(keep equipped)",0,IF($C$2&gt;0,Build!$D$14*INDEX(AugDB_ANY_FTP_BONUS,$C$2),0)+IF(Build!$E$14="ANY_FTP_BONUS",Build!$F$14,0)+IF(Build!$G$14="ANY_FTP_BONUS",Build!$H$14,0))</f>
        <v/>
      </c>
      <c r="AB2">
        <f>IF(Build!$B$14="(keep equipped)",EquipBase!$Z$2,IF(OR(Build!$B$14="(none)",Build!$B$14=""),0,IFERROR(INDEX(GearDB_WSACC,$B$2),0)))+IF(Build!$B$14="(keep equipped)",0,IF($C$2&gt;0,Build!$D$14*INDEX(AugDB_WSACC,$C$2),0)+IF(Build!$E$14="WSACC",Build!$F$14,0)+IF(Build!$G$14="WSACC",Build!$H$14,0))</f>
        <v/>
      </c>
      <c r="AC2">
        <f>IF(Build!$B$14="(keep equipped)",EquipBase!$AA$2,IF(OR(Build!$B$14="(none)",Build!$B$14=""),0,IFERROR(INDEX(GearDB_WSDMG_225,$B$2),0)))+IF(Build!$B$14="(keep equipped)",0,IF($C$2&gt;0,Build!$D$14*INDEX(AugDB_WSDMG_225,$C$2),0)+IF(Build!$E$14="WSDMG_225",Build!$F$14,0)+IF(Build!$G$14="WSDMG_225",Build!$H$14,0))</f>
        <v/>
      </c>
    </row>
    <row r="3">
      <c r="A3" t="inlineStr">
        <is>
          <t>ammo</t>
        </is>
      </c>
      <c r="B3">
        <f>IFERROR(MATCH(Build!$B$15,GearDB_names,0),0)</f>
        <v/>
      </c>
      <c r="C3">
        <f>IFERROR(MATCH(Build!$C$15,AugDB_labels,0),0)</f>
        <v/>
      </c>
      <c r="D3">
        <f>IF(Build!$B$15="(keep equipped)",EquipBase!$B$3,IF(OR(Build!$B$15="(none)",Build!$B$15=""),0,IFERROR(INDEX(GearDB_STR,$B$3),0)))+IF(Build!$B$15="(keep equipped)",0,IF($C$3&gt;0,Build!$D$15*INDEX(AugDB_STR,$C$3),0)+IF(Build!$E$15="STR",Build!$F$15,0)+IF(Build!$G$15="STR",Build!$H$15,0))</f>
        <v/>
      </c>
      <c r="E3">
        <f>IF(Build!$B$15="(keep equipped)",EquipBase!$C$3,IF(OR(Build!$B$15="(none)",Build!$B$15=""),0,IFERROR(INDEX(GearDB_DEX,$B$3),0)))+IF(Build!$B$15="(keep equipped)",0,IF($C$3&gt;0,Build!$D$15*INDEX(AugDB_DEX,$C$3),0)+IF(Build!$E$15="DEX",Build!$F$15,0)+IF(Build!$G$15="DEX",Build!$H$15,0))</f>
        <v/>
      </c>
      <c r="F3">
        <f>IF(Build!$B$15="(keep equipped)",EquipBase!$D$3,IF(OR(Build!$B$15="(none)",Build!$B$15=""),0,IFERROR(INDEX(GearDB_VIT,$B$3),0)))+IF(Build!$B$15="(keep equipped)",0,IF($C$3&gt;0,Build!$D$15*INDEX(AugDB_VIT,$C$3),0)+IF(Build!$E$15="VIT",Build!$F$15,0)+IF(Build!$G$15="VIT",Build!$H$15,0))</f>
        <v/>
      </c>
      <c r="G3">
        <f>IF(Build!$B$15="(keep equipped)",EquipBase!$E$3,IF(OR(Build!$B$15="(none)",Build!$B$15=""),0,IFERROR(INDEX(GearDB_AGI,$B$3),0)))+IF(Build!$B$15="(keep equipped)",0,IF($C$3&gt;0,Build!$D$15*INDEX(AugDB_AGI,$C$3),0)+IF(Build!$E$15="AGI",Build!$F$15,0)+IF(Build!$G$15="AGI",Build!$H$15,0))</f>
        <v/>
      </c>
      <c r="H3">
        <f>IF(Build!$B$15="(keep equipped)",EquipBase!$F$3,IF(OR(Build!$B$15="(none)",Build!$B$15=""),0,IFERROR(INDEX(GearDB_INT,$B$3),0)))+IF(Build!$B$15="(keep equipped)",0,IF($C$3&gt;0,Build!$D$15*INDEX(AugDB_INT,$C$3),0)+IF(Build!$E$15="INT",Build!$F$15,0)+IF(Build!$G$15="INT",Build!$H$15,0))</f>
        <v/>
      </c>
      <c r="I3">
        <f>IF(Build!$B$15="(keep equipped)",EquipBase!$G$3,IF(OR(Build!$B$15="(none)",Build!$B$15=""),0,IFERROR(INDEX(GearDB_MND,$B$3),0)))+IF(Build!$B$15="(keep equipped)",0,IF($C$3&gt;0,Build!$D$15*INDEX(AugDB_MND,$C$3),0)+IF(Build!$E$15="MND",Build!$F$15,0)+IF(Build!$G$15="MND",Build!$H$15,0))</f>
        <v/>
      </c>
      <c r="J3">
        <f>IF(Build!$B$15="(keep equipped)",EquipBase!$H$3,IF(OR(Build!$B$15="(none)",Build!$B$15=""),0,IFERROR(INDEX(GearDB_CHR,$B$3),0)))+IF(Build!$B$15="(keep equipped)",0,IF($C$3&gt;0,Build!$D$15*INDEX(AugDB_CHR,$C$3),0)+IF(Build!$E$15="CHR",Build!$F$15,0)+IF(Build!$G$15="CHR",Build!$H$15,0))</f>
        <v/>
      </c>
      <c r="K3">
        <f>IF(Build!$B$15="(keep equipped)",EquipBase!$I$3,IF(OR(Build!$B$15="(none)",Build!$B$15=""),0,IFERROR(INDEX(GearDB_ATT,$B$3),0)))+IF(Build!$B$15="(keep equipped)",0,IF($C$3&gt;0,Build!$D$15*INDEX(AugDB_ATT,$C$3),0)+IF(Build!$E$15="ATT",Build!$F$15,0)+IF(Build!$G$15="ATT",Build!$H$15,0))</f>
        <v/>
      </c>
      <c r="L3">
        <f>IF(Build!$B$15="(keep equipped)",EquipBase!$J$3,IF(OR(Build!$B$15="(none)",Build!$B$15=""),0,IFERROR(INDEX(GearDB_ATTP,$B$3),0)))+IF(Build!$B$15="(keep equipped)",0,IF($C$3&gt;0,Build!$D$15*INDEX(AugDB_ATTP,$C$3),0)+IF(Build!$E$15="ATTP",Build!$F$15,0)+IF(Build!$G$15="ATTP",Build!$H$15,0))</f>
        <v/>
      </c>
      <c r="M3">
        <f>IF(Build!$B$15="(keep equipped)",EquipBase!$K$3,IF(OR(Build!$B$15="(none)",Build!$B$15=""),0,IFERROR(INDEX(GearDB_ACC,$B$3),0)))+IF(Build!$B$15="(keep equipped)",0,IF($C$3&gt;0,Build!$D$15*INDEX(AugDB_ACC,$C$3),0)+IF(Build!$E$15="ACC",Build!$F$15,0)+IF(Build!$G$15="ACC",Build!$H$15,0))</f>
        <v/>
      </c>
      <c r="N3">
        <f>IF(Build!$B$15="(keep equipped)",EquipBase!$L$3,IF(OR(Build!$B$15="(none)",Build!$B$15=""),0,IFERROR(INDEX(GearDB_CRITHITRATE,$B$3),0)))+IF(Build!$B$15="(keep equipped)",0,IF($C$3&gt;0,Build!$D$15*INDEX(AugDB_CRITHITRATE,$C$3),0)+IF(Build!$E$15="CRITHITRATE",Build!$F$15,0)+IF(Build!$G$15="CRITHITRATE",Build!$H$15,0))</f>
        <v/>
      </c>
      <c r="O3">
        <f>IF(Build!$B$15="(keep equipped)",EquipBase!$M$3,IF(OR(Build!$B$15="(none)",Build!$B$15=""),0,IFERROR(INDEX(GearDB_CRIT_DMG_INCREASE,$B$3),0)))+IF(Build!$B$15="(keep equipped)",0,IF($C$3&gt;0,Build!$D$15*INDEX(AugDB_CRIT_DMG_INCREASE,$C$3),0)+IF(Build!$E$15="CRIT_DMG_INCREASE",Build!$F$15,0)+IF(Build!$G$15="CRIT_DMG_INCREASE",Build!$H$15,0))</f>
        <v/>
      </c>
      <c r="P3">
        <f>IF(Build!$B$15="(keep equipped)",EquipBase!$N$3,IF(OR(Build!$B$15="(none)",Build!$B$15=""),0,IFERROR(INDEX(GearDB_DOUBLE_ATTACK,$B$3),0)))+IF(Build!$B$15="(keep equipped)",0,IF($C$3&gt;0,Build!$D$15*INDEX(AugDB_DOUBLE_ATTACK,$C$3),0)+IF(Build!$E$15="DOUBLE_ATTACK",Build!$F$15,0)+IF(Build!$G$15="DOUBLE_ATTACK",Build!$H$15,0))</f>
        <v/>
      </c>
      <c r="Q3">
        <f>IF(Build!$B$15="(keep equipped)",EquipBase!$O$3,IF(OR(Build!$B$15="(none)",Build!$B$15=""),0,IFERROR(INDEX(GearDB_TRIPLE_ATTACK,$B$3),0)))+IF(Build!$B$15="(keep equipped)",0,IF($C$3&gt;0,Build!$D$15*INDEX(AugDB_TRIPLE_ATTACK,$C$3),0)+IF(Build!$E$15="TRIPLE_ATTACK",Build!$F$15,0)+IF(Build!$G$15="TRIPLE_ATTACK",Build!$H$15,0))</f>
        <v/>
      </c>
      <c r="R3">
        <f>IF(Build!$B$15="(keep equipped)",EquipBase!$P$3,IF(OR(Build!$B$15="(none)",Build!$B$15=""),0,IFERROR(INDEX(GearDB_QUAD_ATTACK,$B$3),0)))+IF(Build!$B$15="(keep equipped)",0,IF($C$3&gt;0,Build!$D$15*INDEX(AugDB_QUAD_ATTACK,$C$3),0)+IF(Build!$E$15="QUAD_ATTACK",Build!$F$15,0)+IF(Build!$G$15="QUAD_ATTACK",Build!$H$15,0))</f>
        <v/>
      </c>
      <c r="S3">
        <f>IF(Build!$B$15="(keep equipped)",EquipBase!$Q$3,IF(OR(Build!$B$15="(none)",Build!$B$15=""),0,IFERROR(INDEX(GearDB_HASTE_GEAR,$B$3),0)))+IF(Build!$B$15="(keep equipped)",0,IF($C$3&gt;0,Build!$D$15*INDEX(AugDB_HASTE_GEAR,$C$3),0)+IF(Build!$E$15="HASTE_GEAR",Build!$F$15,0)+IF(Build!$G$15="HASTE_GEAR",Build!$H$15,0))</f>
        <v/>
      </c>
      <c r="T3">
        <f>IF(Build!$B$15="(keep equipped)",EquipBase!$R$3,IF(OR(Build!$B$15="(none)",Build!$B$15=""),0,IFERROR(INDEX(GearDB_HASTE_MAGIC,$B$3),0)))+IF(Build!$B$15="(keep equipped)",0,IF($C$3&gt;0,Build!$D$15*INDEX(AugDB_HASTE_MAGIC,$C$3),0)+IF(Build!$E$15="HASTE_MAGIC",Build!$F$15,0)+IF(Build!$G$15="HASTE_MAGIC",Build!$H$15,0))</f>
        <v/>
      </c>
      <c r="U3">
        <f>IF(Build!$B$15="(keep equipped)",EquipBase!$S$3,IF(OR(Build!$B$15="(none)",Build!$B$15=""),0,IFERROR(INDEX(GearDB_HASTE_ABILITY,$B$3),0)))+IF(Build!$B$15="(keep equipped)",0,IF($C$3&gt;0,Build!$D$15*INDEX(AugDB_HASTE_ABILITY,$C$3),0)+IF(Build!$E$15="HASTE_ABILITY",Build!$F$15,0)+IF(Build!$G$15="HASTE_ABILITY",Build!$H$15,0))</f>
        <v/>
      </c>
      <c r="V3">
        <f>IF(Build!$B$15="(keep equipped)",EquipBase!$T$3,IF(OR(Build!$B$15="(none)",Build!$B$15=""),0,IFERROR(INDEX(GearDB_DUAL_WIELD,$B$3),0)))+IF(Build!$B$15="(keep equipped)",0,IF($C$3&gt;0,Build!$D$15*INDEX(AugDB_DUAL_WIELD,$C$3),0)+IF(Build!$E$15="DUAL_WIELD",Build!$F$15,0)+IF(Build!$G$15="DUAL_WIELD",Build!$H$15,0))</f>
        <v/>
      </c>
      <c r="W3">
        <f>IF(Build!$B$15="(keep equipped)",EquipBase!$U$3,IF(OR(Build!$B$15="(none)",Build!$B$15=""),0,IFERROR(INDEX(GearDB_STORETP,$B$3),0)))+IF(Build!$B$15="(keep equipped)",0,IF($C$3&gt;0,Build!$D$15*INDEX(AugDB_STORETP,$C$3),0)+IF(Build!$E$15="STORETP",Build!$F$15,0)+IF(Build!$G$15="STORETP",Build!$H$15,0))</f>
        <v/>
      </c>
      <c r="X3">
        <f>IF(Build!$B$15="(keep equipped)",EquipBase!$V$3,IF(OR(Build!$B$15="(none)",Build!$B$15=""),0,IFERROR(INDEX(GearDB_TP_BONUS,$B$3),0)))+IF(Build!$B$15="(keep equipped)",0,IF($C$3&gt;0,Build!$D$15*INDEX(AugDB_TP_BONUS,$C$3),0)+IF(Build!$E$15="TP_BONUS",Build!$F$15,0)+IF(Build!$G$15="TP_BONUS",Build!$H$15,0))</f>
        <v/>
      </c>
      <c r="Y3">
        <f>IF(Build!$B$15="(keep equipped)",EquipBase!$W$3,IF(OR(Build!$B$15="(none)",Build!$B$15=""),0,IFERROR(INDEX(GearDB_ALL_WSDMG_ALL_HITS,$B$3),0)))+IF(Build!$B$15="(keep equipped)",0,IF($C$3&gt;0,Build!$D$15*INDEX(AugDB_ALL_WSDMG_ALL_HITS,$C$3),0)+IF(Build!$E$15="ALL_WSDMG_ALL_HITS",Build!$F$15,0)+IF(Build!$G$15="ALL_WSDMG_ALL_HITS",Build!$H$15,0))</f>
        <v/>
      </c>
      <c r="Z3">
        <f>IF(Build!$B$15="(keep equipped)",EquipBase!$X$3,IF(OR(Build!$B$15="(none)",Build!$B$15=""),0,IFERROR(INDEX(GearDB_ALL_WSDMG_FIRST_HIT,$B$3),0)))+IF(Build!$B$15="(keep equipped)",0,IF($C$3&gt;0,Build!$D$15*INDEX(AugDB_ALL_WSDMG_FIRST_HIT,$C$3),0)+IF(Build!$E$15="ALL_WSDMG_FIRST_HIT",Build!$F$15,0)+IF(Build!$G$15="ALL_WSDMG_FIRST_HIT",Build!$H$15,0))</f>
        <v/>
      </c>
      <c r="AA3">
        <f>IF(Build!$B$15="(keep equipped)",EquipBase!$Y$3,IF(OR(Build!$B$15="(none)",Build!$B$15=""),0,IFERROR(INDEX(GearDB_ANY_FTP_BONUS,$B$3),0)))+IF(Build!$B$15="(keep equipped)",0,IF($C$3&gt;0,Build!$D$15*INDEX(AugDB_ANY_FTP_BONUS,$C$3),0)+IF(Build!$E$15="ANY_FTP_BONUS",Build!$F$15,0)+IF(Build!$G$15="ANY_FTP_BONUS",Build!$H$15,0))</f>
        <v/>
      </c>
      <c r="AB3">
        <f>IF(Build!$B$15="(keep equipped)",EquipBase!$Z$3,IF(OR(Build!$B$15="(none)",Build!$B$15=""),0,IFERROR(INDEX(GearDB_WSACC,$B$3),0)))+IF(Build!$B$15="(keep equipped)",0,IF($C$3&gt;0,Build!$D$15*INDEX(AugDB_WSACC,$C$3),0)+IF(Build!$E$15="WSACC",Build!$F$15,0)+IF(Build!$G$15="WSACC",Build!$H$15,0))</f>
        <v/>
      </c>
      <c r="AC3">
        <f>IF(Build!$B$15="(keep equipped)",EquipBase!$AA$3,IF(OR(Build!$B$15="(none)",Build!$B$15=""),0,IFERROR(INDEX(GearDB_WSDMG_225,$B$3),0)))+IF(Build!$B$15="(keep equipped)",0,IF($C$3&gt;0,Build!$D$15*INDEX(AugDB_WSDMG_225,$C$3),0)+IF(Build!$E$15="WSDMG_225",Build!$F$15,0)+IF(Build!$G$15="WSDMG_225",Build!$H$15,0))</f>
        <v/>
      </c>
    </row>
    <row r="4">
      <c r="A4" t="inlineStr">
        <is>
          <t>head</t>
        </is>
      </c>
      <c r="B4">
        <f>IFERROR(MATCH(Build!$B$16,GearDB_names,0),0)</f>
        <v/>
      </c>
      <c r="C4">
        <f>IFERROR(MATCH(Build!$C$16,AugDB_labels,0),0)</f>
        <v/>
      </c>
      <c r="D4">
        <f>IF(Build!$B$16="(keep equipped)",EquipBase!$B$4,IF(OR(Build!$B$16="(none)",Build!$B$16=""),0,IFERROR(INDEX(GearDB_STR,$B$4),0)))+IF(Build!$B$16="(keep equipped)",0,IF($C$4&gt;0,Build!$D$16*INDEX(AugDB_STR,$C$4),0)+IF(Build!$E$16="STR",Build!$F$16,0)+IF(Build!$G$16="STR",Build!$H$16,0))</f>
        <v/>
      </c>
      <c r="E4">
        <f>IF(Build!$B$16="(keep equipped)",EquipBase!$C$4,IF(OR(Build!$B$16="(none)",Build!$B$16=""),0,IFERROR(INDEX(GearDB_DEX,$B$4),0)))+IF(Build!$B$16="(keep equipped)",0,IF($C$4&gt;0,Build!$D$16*INDEX(AugDB_DEX,$C$4),0)+IF(Build!$E$16="DEX",Build!$F$16,0)+IF(Build!$G$16="DEX",Build!$H$16,0))</f>
        <v/>
      </c>
      <c r="F4">
        <f>IF(Build!$B$16="(keep equipped)",EquipBase!$D$4,IF(OR(Build!$B$16="(none)",Build!$B$16=""),0,IFERROR(INDEX(GearDB_VIT,$B$4),0)))+IF(Build!$B$16="(keep equipped)",0,IF($C$4&gt;0,Build!$D$16*INDEX(AugDB_VIT,$C$4),0)+IF(Build!$E$16="VIT",Build!$F$16,0)+IF(Build!$G$16="VIT",Build!$H$16,0))</f>
        <v/>
      </c>
      <c r="G4">
        <f>IF(Build!$B$16="(keep equipped)",EquipBase!$E$4,IF(OR(Build!$B$16="(none)",Build!$B$16=""),0,IFERROR(INDEX(GearDB_AGI,$B$4),0)))+IF(Build!$B$16="(keep equipped)",0,IF($C$4&gt;0,Build!$D$16*INDEX(AugDB_AGI,$C$4),0)+IF(Build!$E$16="AGI",Build!$F$16,0)+IF(Build!$G$16="AGI",Build!$H$16,0))</f>
        <v/>
      </c>
      <c r="H4">
        <f>IF(Build!$B$16="(keep equipped)",EquipBase!$F$4,IF(OR(Build!$B$16="(none)",Build!$B$16=""),0,IFERROR(INDEX(GearDB_INT,$B$4),0)))+IF(Build!$B$16="(keep equipped)",0,IF($C$4&gt;0,Build!$D$16*INDEX(AugDB_INT,$C$4),0)+IF(Build!$E$16="INT",Build!$F$16,0)+IF(Build!$G$16="INT",Build!$H$16,0))</f>
        <v/>
      </c>
      <c r="I4">
        <f>IF(Build!$B$16="(keep equipped)",EquipBase!$G$4,IF(OR(Build!$B$16="(none)",Build!$B$16=""),0,IFERROR(INDEX(GearDB_MND,$B$4),0)))+IF(Build!$B$16="(keep equipped)",0,IF($C$4&gt;0,Build!$D$16*INDEX(AugDB_MND,$C$4),0)+IF(Build!$E$16="MND",Build!$F$16,0)+IF(Build!$G$16="MND",Build!$H$16,0))</f>
        <v/>
      </c>
      <c r="J4">
        <f>IF(Build!$B$16="(keep equipped)",EquipBase!$H$4,IF(OR(Build!$B$16="(none)",Build!$B$16=""),0,IFERROR(INDEX(GearDB_CHR,$B$4),0)))+IF(Build!$B$16="(keep equipped)",0,IF($C$4&gt;0,Build!$D$16*INDEX(AugDB_CHR,$C$4),0)+IF(Build!$E$16="CHR",Build!$F$16,0)+IF(Build!$G$16="CHR",Build!$H$16,0))</f>
        <v/>
      </c>
      <c r="K4">
        <f>IF(Build!$B$16="(keep equipped)",EquipBase!$I$4,IF(OR(Build!$B$16="(none)",Build!$B$16=""),0,IFERROR(INDEX(GearDB_ATT,$B$4),0)))+IF(Build!$B$16="(keep equipped)",0,IF($C$4&gt;0,Build!$D$16*INDEX(AugDB_ATT,$C$4),0)+IF(Build!$E$16="ATT",Build!$F$16,0)+IF(Build!$G$16="ATT",Build!$H$16,0))</f>
        <v/>
      </c>
      <c r="L4">
        <f>IF(Build!$B$16="(keep equipped)",EquipBase!$J$4,IF(OR(Build!$B$16="(none)",Build!$B$16=""),0,IFERROR(INDEX(GearDB_ATTP,$B$4),0)))+IF(Build!$B$16="(keep equipped)",0,IF($C$4&gt;0,Build!$D$16*INDEX(AugDB_ATTP,$C$4),0)+IF(Build!$E$16="ATTP",Build!$F$16,0)+IF(Build!$G$16="ATTP",Build!$H$16,0))</f>
        <v/>
      </c>
      <c r="M4">
        <f>IF(Build!$B$16="(keep equipped)",EquipBase!$K$4,IF(OR(Build!$B$16="(none)",Build!$B$16=""),0,IFERROR(INDEX(GearDB_ACC,$B$4),0)))+IF(Build!$B$16="(keep equipped)",0,IF($C$4&gt;0,Build!$D$16*INDEX(AugDB_ACC,$C$4),0)+IF(Build!$E$16="ACC",Build!$F$16,0)+IF(Build!$G$16="ACC",Build!$H$16,0))</f>
        <v/>
      </c>
      <c r="N4">
        <f>IF(Build!$B$16="(keep equipped)",EquipBase!$L$4,IF(OR(Build!$B$16="(none)",Build!$B$16=""),0,IFERROR(INDEX(GearDB_CRITHITRATE,$B$4),0)))+IF(Build!$B$16="(keep equipped)",0,IF($C$4&gt;0,Build!$D$16*INDEX(AugDB_CRITHITRATE,$C$4),0)+IF(Build!$E$16="CRITHITRATE",Build!$F$16,0)+IF(Build!$G$16="CRITHITRATE",Build!$H$16,0))</f>
        <v/>
      </c>
      <c r="O4">
        <f>IF(Build!$B$16="(keep equipped)",EquipBase!$M$4,IF(OR(Build!$B$16="(none)",Build!$B$16=""),0,IFERROR(INDEX(GearDB_CRIT_DMG_INCREASE,$B$4),0)))+IF(Build!$B$16="(keep equipped)",0,IF($C$4&gt;0,Build!$D$16*INDEX(AugDB_CRIT_DMG_INCREASE,$C$4),0)+IF(Build!$E$16="CRIT_DMG_INCREASE",Build!$F$16,0)+IF(Build!$G$16="CRIT_DMG_INCREASE",Build!$H$16,0))</f>
        <v/>
      </c>
      <c r="P4">
        <f>IF(Build!$B$16="(keep equipped)",EquipBase!$N$4,IF(OR(Build!$B$16="(none)",Build!$B$16=""),0,IFERROR(INDEX(GearDB_DOUBLE_ATTACK,$B$4),0)))+IF(Build!$B$16="(keep equipped)",0,IF($C$4&gt;0,Build!$D$16*INDEX(AugDB_DOUBLE_ATTACK,$C$4),0)+IF(Build!$E$16="DOUBLE_ATTACK",Build!$F$16,0)+IF(Build!$G$16="DOUBLE_ATTACK",Build!$H$16,0))</f>
        <v/>
      </c>
      <c r="Q4">
        <f>IF(Build!$B$16="(keep equipped)",EquipBase!$O$4,IF(OR(Build!$B$16="(none)",Build!$B$16=""),0,IFERROR(INDEX(GearDB_TRIPLE_ATTACK,$B$4),0)))+IF(Build!$B$16="(keep equipped)",0,IF($C$4&gt;0,Build!$D$16*INDEX(AugDB_TRIPLE_ATTACK,$C$4),0)+IF(Build!$E$16="TRIPLE_ATTACK",Build!$F$16,0)+IF(Build!$G$16="TRIPLE_ATTACK",Build!$H$16,0))</f>
        <v/>
      </c>
      <c r="R4">
        <f>IF(Build!$B$16="(keep equipped)",EquipBase!$P$4,IF(OR(Build!$B$16="(none)",Build!$B$16=""),0,IFERROR(INDEX(GearDB_QUAD_ATTACK,$B$4),0)))+IF(Build!$B$16="(keep equipped)",0,IF($C$4&gt;0,Build!$D$16*INDEX(AugDB_QUAD_ATTACK,$C$4),0)+IF(Build!$E$16="QUAD_ATTACK",Build!$F$16,0)+IF(Build!$G$16="QUAD_ATTACK",Build!$H$16,0))</f>
        <v/>
      </c>
      <c r="S4">
        <f>IF(Build!$B$16="(keep equipped)",EquipBase!$Q$4,IF(OR(Build!$B$16="(none)",Build!$B$16=""),0,IFERROR(INDEX(GearDB_HASTE_GEAR,$B$4),0)))+IF(Build!$B$16="(keep equipped)",0,IF($C$4&gt;0,Build!$D$16*INDEX(AugDB_HASTE_GEAR,$C$4),0)+IF(Build!$E$16="HASTE_GEAR",Build!$F$16,0)+IF(Build!$G$16="HASTE_GEAR",Build!$H$16,0))</f>
        <v/>
      </c>
      <c r="T4">
        <f>IF(Build!$B$16="(keep equipped)",EquipBase!$R$4,IF(OR(Build!$B$16="(none)",Build!$B$16=""),0,IFERROR(INDEX(GearDB_HASTE_MAGIC,$B$4),0)))+IF(Build!$B$16="(keep equipped)",0,IF($C$4&gt;0,Build!$D$16*INDEX(AugDB_HASTE_MAGIC,$C$4),0)+IF(Build!$E$16="HASTE_MAGIC",Build!$F$16,0)+IF(Build!$G$16="HASTE_MAGIC",Build!$H$16,0))</f>
        <v/>
      </c>
      <c r="U4">
        <f>IF(Build!$B$16="(keep equipped)",EquipBase!$S$4,IF(OR(Build!$B$16="(none)",Build!$B$16=""),0,IFERROR(INDEX(GearDB_HASTE_ABILITY,$B$4),0)))+IF(Build!$B$16="(keep equipped)",0,IF($C$4&gt;0,Build!$D$16*INDEX(AugDB_HASTE_ABILITY,$C$4),0)+IF(Build!$E$16="HASTE_ABILITY",Build!$F$16,0)+IF(Build!$G$16="HASTE_ABILITY",Build!$H$16,0))</f>
        <v/>
      </c>
      <c r="V4">
        <f>IF(Build!$B$16="(keep equipped)",EquipBase!$T$4,IF(OR(Build!$B$16="(none)",Build!$B$16=""),0,IFERROR(INDEX(GearDB_DUAL_WIELD,$B$4),0)))+IF(Build!$B$16="(keep equipped)",0,IF($C$4&gt;0,Build!$D$16*INDEX(AugDB_DUAL_WIELD,$C$4),0)+IF(Build!$E$16="DUAL_WIELD",Build!$F$16,0)+IF(Build!$G$16="DUAL_WIELD",Build!$H$16,0))</f>
        <v/>
      </c>
      <c r="W4">
        <f>IF(Build!$B$16="(keep equipped)",EquipBase!$U$4,IF(OR(Build!$B$16="(none)",Build!$B$16=""),0,IFERROR(INDEX(GearDB_STORETP,$B$4),0)))+IF(Build!$B$16="(keep equipped)",0,IF($C$4&gt;0,Build!$D$16*INDEX(AugDB_STORETP,$C$4),0)+IF(Build!$E$16="STORETP",Build!$F$16,0)+IF(Build!$G$16="STORETP",Build!$H$16,0))</f>
        <v/>
      </c>
      <c r="X4">
        <f>IF(Build!$B$16="(keep equipped)",EquipBase!$V$4,IF(OR(Build!$B$16="(none)",Build!$B$16=""),0,IFERROR(INDEX(GearDB_TP_BONUS,$B$4),0)))+IF(Build!$B$16="(keep equipped)",0,IF($C$4&gt;0,Build!$D$16*INDEX(AugDB_TP_BONUS,$C$4),0)+IF(Build!$E$16="TP_BONUS",Build!$F$16,0)+IF(Build!$G$16="TP_BONUS",Build!$H$16,0))</f>
        <v/>
      </c>
      <c r="Y4">
        <f>IF(Build!$B$16="(keep equipped)",EquipBase!$W$4,IF(OR(Build!$B$16="(none)",Build!$B$16=""),0,IFERROR(INDEX(GearDB_ALL_WSDMG_ALL_HITS,$B$4),0)))+IF(Build!$B$16="(keep equipped)",0,IF($C$4&gt;0,Build!$D$16*INDEX(AugDB_ALL_WSDMG_ALL_HITS,$C$4),0)+IF(Build!$E$16="ALL_WSDMG_ALL_HITS",Build!$F$16,0)+IF(Build!$G$16="ALL_WSDMG_ALL_HITS",Build!$H$16,0))</f>
        <v/>
      </c>
      <c r="Z4">
        <f>IF(Build!$B$16="(keep equipped)",EquipBase!$X$4,IF(OR(Build!$B$16="(none)",Build!$B$16=""),0,IFERROR(INDEX(GearDB_ALL_WSDMG_FIRST_HIT,$B$4),0)))+IF(Build!$B$16="(keep equipped)",0,IF($C$4&gt;0,Build!$D$16*INDEX(AugDB_ALL_WSDMG_FIRST_HIT,$C$4),0)+IF(Build!$E$16="ALL_WSDMG_FIRST_HIT",Build!$F$16,0)+IF(Build!$G$16="ALL_WSDMG_FIRST_HIT",Build!$H$16,0))</f>
        <v/>
      </c>
      <c r="AA4">
        <f>IF(Build!$B$16="(keep equipped)",EquipBase!$Y$4,IF(OR(Build!$B$16="(none)",Build!$B$16=""),0,IFERROR(INDEX(GearDB_ANY_FTP_BONUS,$B$4),0)))+IF(Build!$B$16="(keep equipped)",0,IF($C$4&gt;0,Build!$D$16*INDEX(AugDB_ANY_FTP_BONUS,$C$4),0)+IF(Build!$E$16="ANY_FTP_BONUS",Build!$F$16,0)+IF(Build!$G$16="ANY_FTP_BONUS",Build!$H$16,0))</f>
        <v/>
      </c>
      <c r="AB4">
        <f>IF(Build!$B$16="(keep equipped)",EquipBase!$Z$4,IF(OR(Build!$B$16="(none)",Build!$B$16=""),0,IFERROR(INDEX(GearDB_WSACC,$B$4),0)))+IF(Build!$B$16="(keep equipped)",0,IF($C$4&gt;0,Build!$D$16*INDEX(AugDB_WSACC,$C$4),0)+IF(Build!$E$16="WSACC",Build!$F$16,0)+IF(Build!$G$16="WSACC",Build!$H$16,0))</f>
        <v/>
      </c>
      <c r="AC4">
        <f>IF(Build!$B$16="(keep equipped)",EquipBase!$AA$4,IF(OR(Build!$B$16="(none)",Build!$B$16=""),0,IFERROR(INDEX(GearDB_WSDMG_225,$B$4),0)))+IF(Build!$B$16="(keep equipped)",0,IF($C$4&gt;0,Build!$D$16*INDEX(AugDB_WSDMG_225,$C$4),0)+IF(Build!$E$16="WSDMG_225",Build!$F$16,0)+IF(Build!$G$16="WSDMG_225",Build!$H$16,0))</f>
        <v/>
      </c>
    </row>
    <row r="5">
      <c r="A5" t="inlineStr">
        <is>
          <t>body</t>
        </is>
      </c>
      <c r="B5">
        <f>IFERROR(MATCH(Build!$B$17,GearDB_names,0),0)</f>
        <v/>
      </c>
      <c r="C5">
        <f>IFERROR(MATCH(Build!$C$17,AugDB_labels,0),0)</f>
        <v/>
      </c>
      <c r="D5">
        <f>IF(Build!$B$17="(keep equipped)",EquipBase!$B$5,IF(OR(Build!$B$17="(none)",Build!$B$17=""),0,IFERROR(INDEX(GearDB_STR,$B$5),0)))+IF(Build!$B$17="(keep equipped)",0,IF($C$5&gt;0,Build!$D$17*INDEX(AugDB_STR,$C$5),0)+IF(Build!$E$17="STR",Build!$F$17,0)+IF(Build!$G$17="STR",Build!$H$17,0))</f>
        <v/>
      </c>
      <c r="E5">
        <f>IF(Build!$B$17="(keep equipped)",EquipBase!$C$5,IF(OR(Build!$B$17="(none)",Build!$B$17=""),0,IFERROR(INDEX(GearDB_DEX,$B$5),0)))+IF(Build!$B$17="(keep equipped)",0,IF($C$5&gt;0,Build!$D$17*INDEX(AugDB_DEX,$C$5),0)+IF(Build!$E$17="DEX",Build!$F$17,0)+IF(Build!$G$17="DEX",Build!$H$17,0))</f>
        <v/>
      </c>
      <c r="F5">
        <f>IF(Build!$B$17="(keep equipped)",EquipBase!$D$5,IF(OR(Build!$B$17="(none)",Build!$B$17=""),0,IFERROR(INDEX(GearDB_VIT,$B$5),0)))+IF(Build!$B$17="(keep equipped)",0,IF($C$5&gt;0,Build!$D$17*INDEX(AugDB_VIT,$C$5),0)+IF(Build!$E$17="VIT",Build!$F$17,0)+IF(Build!$G$17="VIT",Build!$H$17,0))</f>
        <v/>
      </c>
      <c r="G5">
        <f>IF(Build!$B$17="(keep equipped)",EquipBase!$E$5,IF(OR(Build!$B$17="(none)",Build!$B$17=""),0,IFERROR(INDEX(GearDB_AGI,$B$5),0)))+IF(Build!$B$17="(keep equipped)",0,IF($C$5&gt;0,Build!$D$17*INDEX(AugDB_AGI,$C$5),0)+IF(Build!$E$17="AGI",Build!$F$17,0)+IF(Build!$G$17="AGI",Build!$H$17,0))</f>
        <v/>
      </c>
      <c r="H5">
        <f>IF(Build!$B$17="(keep equipped)",EquipBase!$F$5,IF(OR(Build!$B$17="(none)",Build!$B$17=""),0,IFERROR(INDEX(GearDB_INT,$B$5),0)))+IF(Build!$B$17="(keep equipped)",0,IF($C$5&gt;0,Build!$D$17*INDEX(AugDB_INT,$C$5),0)+IF(Build!$E$17="INT",Build!$F$17,0)+IF(Build!$G$17="INT",Build!$H$17,0))</f>
        <v/>
      </c>
      <c r="I5">
        <f>IF(Build!$B$17="(keep equipped)",EquipBase!$G$5,IF(OR(Build!$B$17="(none)",Build!$B$17=""),0,IFERROR(INDEX(GearDB_MND,$B$5),0)))+IF(Build!$B$17="(keep equipped)",0,IF($C$5&gt;0,Build!$D$17*INDEX(AugDB_MND,$C$5),0)+IF(Build!$E$17="MND",Build!$F$17,0)+IF(Build!$G$17="MND",Build!$H$17,0))</f>
        <v/>
      </c>
      <c r="J5">
        <f>IF(Build!$B$17="(keep equipped)",EquipBase!$H$5,IF(OR(Build!$B$17="(none)",Build!$B$17=""),0,IFERROR(INDEX(GearDB_CHR,$B$5),0)))+IF(Build!$B$17="(keep equipped)",0,IF($C$5&gt;0,Build!$D$17*INDEX(AugDB_CHR,$C$5),0)+IF(Build!$E$17="CHR",Build!$F$17,0)+IF(Build!$G$17="CHR",Build!$H$17,0))</f>
        <v/>
      </c>
      <c r="K5">
        <f>IF(Build!$B$17="(keep equipped)",EquipBase!$I$5,IF(OR(Build!$B$17="(none)",Build!$B$17=""),0,IFERROR(INDEX(GearDB_ATT,$B$5),0)))+IF(Build!$B$17="(keep equipped)",0,IF($C$5&gt;0,Build!$D$17*INDEX(AugDB_ATT,$C$5),0)+IF(Build!$E$17="ATT",Build!$F$17,0)+IF(Build!$G$17="ATT",Build!$H$17,0))</f>
        <v/>
      </c>
      <c r="L5">
        <f>IF(Build!$B$17="(keep equipped)",EquipBase!$J$5,IF(OR(Build!$B$17="(none)",Build!$B$17=""),0,IFERROR(INDEX(GearDB_ATTP,$B$5),0)))+IF(Build!$B$17="(keep equipped)",0,IF($C$5&gt;0,Build!$D$17*INDEX(AugDB_ATTP,$C$5),0)+IF(Build!$E$17="ATTP",Build!$F$17,0)+IF(Build!$G$17="ATTP",Build!$H$17,0))</f>
        <v/>
      </c>
      <c r="M5">
        <f>IF(Build!$B$17="(keep equipped)",EquipBase!$K$5,IF(OR(Build!$B$17="(none)",Build!$B$17=""),0,IFERROR(INDEX(GearDB_ACC,$B$5),0)))+IF(Build!$B$17="(keep equipped)",0,IF($C$5&gt;0,Build!$D$17*INDEX(AugDB_ACC,$C$5),0)+IF(Build!$E$17="ACC",Build!$F$17,0)+IF(Build!$G$17="ACC",Build!$H$17,0))</f>
        <v/>
      </c>
      <c r="N5">
        <f>IF(Build!$B$17="(keep equipped)",EquipBase!$L$5,IF(OR(Build!$B$17="(none)",Build!$B$17=""),0,IFERROR(INDEX(GearDB_CRITHITRATE,$B$5),0)))+IF(Build!$B$17="(keep equipped)",0,IF($C$5&gt;0,Build!$D$17*INDEX(AugDB_CRITHITRATE,$C$5),0)+IF(Build!$E$17="CRITHITRATE",Build!$F$17,0)+IF(Build!$G$17="CRITHITRATE",Build!$H$17,0))</f>
        <v/>
      </c>
      <c r="O5">
        <f>IF(Build!$B$17="(keep equipped)",EquipBase!$M$5,IF(OR(Build!$B$17="(none)",Build!$B$17=""),0,IFERROR(INDEX(GearDB_CRIT_DMG_INCREASE,$B$5),0)))+IF(Build!$B$17="(keep equipped)",0,IF($C$5&gt;0,Build!$D$17*INDEX(AugDB_CRIT_DMG_INCREASE,$C$5),0)+IF(Build!$E$17="CRIT_DMG_INCREASE",Build!$F$17,0)+IF(Build!$G$17="CRIT_DMG_INCREASE",Build!$H$17,0))</f>
        <v/>
      </c>
      <c r="P5">
        <f>IF(Build!$B$17="(keep equipped)",EquipBase!$N$5,IF(OR(Build!$B$17="(none)",Build!$B$17=""),0,IFERROR(INDEX(GearDB_DOUBLE_ATTACK,$B$5),0)))+IF(Build!$B$17="(keep equipped)",0,IF($C$5&gt;0,Build!$D$17*INDEX(AugDB_DOUBLE_ATTACK,$C$5),0)+IF(Build!$E$17="DOUBLE_ATTACK",Build!$F$17,0)+IF(Build!$G$17="DOUBLE_ATTACK",Build!$H$17,0))</f>
        <v/>
      </c>
      <c r="Q5">
        <f>IF(Build!$B$17="(keep equipped)",EquipBase!$O$5,IF(OR(Build!$B$17="(none)",Build!$B$17=""),0,IFERROR(INDEX(GearDB_TRIPLE_ATTACK,$B$5),0)))+IF(Build!$B$17="(keep equipped)",0,IF($C$5&gt;0,Build!$D$17*INDEX(AugDB_TRIPLE_ATTACK,$C$5),0)+IF(Build!$E$17="TRIPLE_ATTACK",Build!$F$17,0)+IF(Build!$G$17="TRIPLE_ATTACK",Build!$H$17,0))</f>
        <v/>
      </c>
      <c r="R5">
        <f>IF(Build!$B$17="(keep equipped)",EquipBase!$P$5,IF(OR(Build!$B$17="(none)",Build!$B$17=""),0,IFERROR(INDEX(GearDB_QUAD_ATTACK,$B$5),0)))+IF(Build!$B$17="(keep equipped)",0,IF($C$5&gt;0,Build!$D$17*INDEX(AugDB_QUAD_ATTACK,$C$5),0)+IF(Build!$E$17="QUAD_ATTACK",Build!$F$17,0)+IF(Build!$G$17="QUAD_ATTACK",Build!$H$17,0))</f>
        <v/>
      </c>
      <c r="S5">
        <f>IF(Build!$B$17="(keep equipped)",EquipBase!$Q$5,IF(OR(Build!$B$17="(none)",Build!$B$17=""),0,IFERROR(INDEX(GearDB_HASTE_GEAR,$B$5),0)))+IF(Build!$B$17="(keep equipped)",0,IF($C$5&gt;0,Build!$D$17*INDEX(AugDB_HASTE_GEAR,$C$5),0)+IF(Build!$E$17="HASTE_GEAR",Build!$F$17,0)+IF(Build!$G$17="HASTE_GEAR",Build!$H$17,0))</f>
        <v/>
      </c>
      <c r="T5">
        <f>IF(Build!$B$17="(keep equipped)",EquipBase!$R$5,IF(OR(Build!$B$17="(none)",Build!$B$17=""),0,IFERROR(INDEX(GearDB_HASTE_MAGIC,$B$5),0)))+IF(Build!$B$17="(keep equipped)",0,IF($C$5&gt;0,Build!$D$17*INDEX(AugDB_HASTE_MAGIC,$C$5),0)+IF(Build!$E$17="HASTE_MAGIC",Build!$F$17,0)+IF(Build!$G$17="HASTE_MAGIC",Build!$H$17,0))</f>
        <v/>
      </c>
      <c r="U5">
        <f>IF(Build!$B$17="(keep equipped)",EquipBase!$S$5,IF(OR(Build!$B$17="(none)",Build!$B$17=""),0,IFERROR(INDEX(GearDB_HASTE_ABILITY,$B$5),0)))+IF(Build!$B$17="(keep equipped)",0,IF($C$5&gt;0,Build!$D$17*INDEX(AugDB_HASTE_ABILITY,$C$5),0)+IF(Build!$E$17="HASTE_ABILITY",Build!$F$17,0)+IF(Build!$G$17="HASTE_ABILITY",Build!$H$17,0))</f>
        <v/>
      </c>
      <c r="V5">
        <f>IF(Build!$B$17="(keep equipped)",EquipBase!$T$5,IF(OR(Build!$B$17="(none)",Build!$B$17=""),0,IFERROR(INDEX(GearDB_DUAL_WIELD,$B$5),0)))+IF(Build!$B$17="(keep equipped)",0,IF($C$5&gt;0,Build!$D$17*INDEX(AugDB_DUAL_WIELD,$C$5),0)+IF(Build!$E$17="DUAL_WIELD",Build!$F$17,0)+IF(Build!$G$17="DUAL_WIELD",Build!$H$17,0))</f>
        <v/>
      </c>
      <c r="W5">
        <f>IF(Build!$B$17="(keep equipped)",EquipBase!$U$5,IF(OR(Build!$B$17="(none)",Build!$B$17=""),0,IFERROR(INDEX(GearDB_STORETP,$B$5),0)))+IF(Build!$B$17="(keep equipped)",0,IF($C$5&gt;0,Build!$D$17*INDEX(AugDB_STORETP,$C$5),0)+IF(Build!$E$17="STORETP",Build!$F$17,0)+IF(Build!$G$17="STORETP",Build!$H$17,0))</f>
        <v/>
      </c>
      <c r="X5">
        <f>IF(Build!$B$17="(keep equipped)",EquipBase!$V$5,IF(OR(Build!$B$17="(none)",Build!$B$17=""),0,IFERROR(INDEX(GearDB_TP_BONUS,$B$5),0)))+IF(Build!$B$17="(keep equipped)",0,IF($C$5&gt;0,Build!$D$17*INDEX(AugDB_TP_BONUS,$C$5),0)+IF(Build!$E$17="TP_BONUS",Build!$F$17,0)+IF(Build!$G$17="TP_BONUS",Build!$H$17,0))</f>
        <v/>
      </c>
      <c r="Y5">
        <f>IF(Build!$B$17="(keep equipped)",EquipBase!$W$5,IF(OR(Build!$B$17="(none)",Build!$B$17=""),0,IFERROR(INDEX(GearDB_ALL_WSDMG_ALL_HITS,$B$5),0)))+IF(Build!$B$17="(keep equipped)",0,IF($C$5&gt;0,Build!$D$17*INDEX(AugDB_ALL_WSDMG_ALL_HITS,$C$5),0)+IF(Build!$E$17="ALL_WSDMG_ALL_HITS",Build!$F$17,0)+IF(Build!$G$17="ALL_WSDMG_ALL_HITS",Build!$H$17,0))</f>
        <v/>
      </c>
      <c r="Z5">
        <f>IF(Build!$B$17="(keep equipped)",EquipBase!$X$5,IF(OR(Build!$B$17="(none)",Build!$B$17=""),0,IFERROR(INDEX(GearDB_ALL_WSDMG_FIRST_HIT,$B$5),0)))+IF(Build!$B$17="(keep equipped)",0,IF($C$5&gt;0,Build!$D$17*INDEX(AugDB_ALL_WSDMG_FIRST_HIT,$C$5),0)+IF(Build!$E$17="ALL_WSDMG_FIRST_HIT",Build!$F$17,0)+IF(Build!$G$17="ALL_WSDMG_FIRST_HIT",Build!$H$17,0))</f>
        <v/>
      </c>
      <c r="AA5">
        <f>IF(Build!$B$17="(keep equipped)",EquipBase!$Y$5,IF(OR(Build!$B$17="(none)",Build!$B$17=""),0,IFERROR(INDEX(GearDB_ANY_FTP_BONUS,$B$5),0)))+IF(Build!$B$17="(keep equipped)",0,IF($C$5&gt;0,Build!$D$17*INDEX(AugDB_ANY_FTP_BONUS,$C$5),0)+IF(Build!$E$17="ANY_FTP_BONUS",Build!$F$17,0)+IF(Build!$G$17="ANY_FTP_BONUS",Build!$H$17,0))</f>
        <v/>
      </c>
      <c r="AB5">
        <f>IF(Build!$B$17="(keep equipped)",EquipBase!$Z$5,IF(OR(Build!$B$17="(none)",Build!$B$17=""),0,IFERROR(INDEX(GearDB_WSACC,$B$5),0)))+IF(Build!$B$17="(keep equipped)",0,IF($C$5&gt;0,Build!$D$17*INDEX(AugDB_WSACC,$C$5),0)+IF(Build!$E$17="WSACC",Build!$F$17,0)+IF(Build!$G$17="WSACC",Build!$H$17,0))</f>
        <v/>
      </c>
      <c r="AC5">
        <f>IF(Build!$B$17="(keep equipped)",EquipBase!$AA$5,IF(OR(Build!$B$17="(none)",Build!$B$17=""),0,IFERROR(INDEX(GearDB_WSDMG_225,$B$5),0)))+IF(Build!$B$17="(keep equipped)",0,IF($C$5&gt;0,Build!$D$17*INDEX(AugDB_WSDMG_225,$C$5),0)+IF(Build!$E$17="WSDMG_225",Build!$F$17,0)+IF(Build!$G$17="WSDMG_225",Build!$H$17,0))</f>
        <v/>
      </c>
    </row>
    <row r="6">
      <c r="A6" t="inlineStr">
        <is>
          <t>hands</t>
        </is>
      </c>
      <c r="B6">
        <f>IFERROR(MATCH(Build!$B$18,GearDB_names,0),0)</f>
        <v/>
      </c>
      <c r="C6">
        <f>IFERROR(MATCH(Build!$C$18,AugDB_labels,0),0)</f>
        <v/>
      </c>
      <c r="D6">
        <f>IF(Build!$B$18="(keep equipped)",EquipBase!$B$6,IF(OR(Build!$B$18="(none)",Build!$B$18=""),0,IFERROR(INDEX(GearDB_STR,$B$6),0)))+IF(Build!$B$18="(keep equipped)",0,IF($C$6&gt;0,Build!$D$18*INDEX(AugDB_STR,$C$6),0)+IF(Build!$E$18="STR",Build!$F$18,0)+IF(Build!$G$18="STR",Build!$H$18,0))</f>
        <v/>
      </c>
      <c r="E6">
        <f>IF(Build!$B$18="(keep equipped)",EquipBase!$C$6,IF(OR(Build!$B$18="(none)",Build!$B$18=""),0,IFERROR(INDEX(GearDB_DEX,$B$6),0)))+IF(Build!$B$18="(keep equipped)",0,IF($C$6&gt;0,Build!$D$18*INDEX(AugDB_DEX,$C$6),0)+IF(Build!$E$18="DEX",Build!$F$18,0)+IF(Build!$G$18="DEX",Build!$H$18,0))</f>
        <v/>
      </c>
      <c r="F6">
        <f>IF(Build!$B$18="(keep equipped)",EquipBase!$D$6,IF(OR(Build!$B$18="(none)",Build!$B$18=""),0,IFERROR(INDEX(GearDB_VIT,$B$6),0)))+IF(Build!$B$18="(keep equipped)",0,IF($C$6&gt;0,Build!$D$18*INDEX(AugDB_VIT,$C$6),0)+IF(Build!$E$18="VIT",Build!$F$18,0)+IF(Build!$G$18="VIT",Build!$H$18,0))</f>
        <v/>
      </c>
      <c r="G6">
        <f>IF(Build!$B$18="(keep equipped)",EquipBase!$E$6,IF(OR(Build!$B$18="(none)",Build!$B$18=""),0,IFERROR(INDEX(GearDB_AGI,$B$6),0)))+IF(Build!$B$18="(keep equipped)",0,IF($C$6&gt;0,Build!$D$18*INDEX(AugDB_AGI,$C$6),0)+IF(Build!$E$18="AGI",Build!$F$18,0)+IF(Build!$G$18="AGI",Build!$H$18,0))</f>
        <v/>
      </c>
      <c r="H6">
        <f>IF(Build!$B$18="(keep equipped)",EquipBase!$F$6,IF(OR(Build!$B$18="(none)",Build!$B$18=""),0,IFERROR(INDEX(GearDB_INT,$B$6),0)))+IF(Build!$B$18="(keep equipped)",0,IF($C$6&gt;0,Build!$D$18*INDEX(AugDB_INT,$C$6),0)+IF(Build!$E$18="INT",Build!$F$18,0)+IF(Build!$G$18="INT",Build!$H$18,0))</f>
        <v/>
      </c>
      <c r="I6">
        <f>IF(Build!$B$18="(keep equipped)",EquipBase!$G$6,IF(OR(Build!$B$18="(none)",Build!$B$18=""),0,IFERROR(INDEX(GearDB_MND,$B$6),0)))+IF(Build!$B$18="(keep equipped)",0,IF($C$6&gt;0,Build!$D$18*INDEX(AugDB_MND,$C$6),0)+IF(Build!$E$18="MND",Build!$F$18,0)+IF(Build!$G$18="MND",Build!$H$18,0))</f>
        <v/>
      </c>
      <c r="J6">
        <f>IF(Build!$B$18="(keep equipped)",EquipBase!$H$6,IF(OR(Build!$B$18="(none)",Build!$B$18=""),0,IFERROR(INDEX(GearDB_CHR,$B$6),0)))+IF(Build!$B$18="(keep equipped)",0,IF($C$6&gt;0,Build!$D$18*INDEX(AugDB_CHR,$C$6),0)+IF(Build!$E$18="CHR",Build!$F$18,0)+IF(Build!$G$18="CHR",Build!$H$18,0))</f>
        <v/>
      </c>
      <c r="K6">
        <f>IF(Build!$B$18="(keep equipped)",EquipBase!$I$6,IF(OR(Build!$B$18="(none)",Build!$B$18=""),0,IFERROR(INDEX(GearDB_ATT,$B$6),0)))+IF(Build!$B$18="(keep equipped)",0,IF($C$6&gt;0,Build!$D$18*INDEX(AugDB_ATT,$C$6),0)+IF(Build!$E$18="ATT",Build!$F$18,0)+IF(Build!$G$18="ATT",Build!$H$18,0))</f>
        <v/>
      </c>
      <c r="L6">
        <f>IF(Build!$B$18="(keep equipped)",EquipBase!$J$6,IF(OR(Build!$B$18="(none)",Build!$B$18=""),0,IFERROR(INDEX(GearDB_ATTP,$B$6),0)))+IF(Build!$B$18="(keep equipped)",0,IF($C$6&gt;0,Build!$D$18*INDEX(AugDB_ATTP,$C$6),0)+IF(Build!$E$18="ATTP",Build!$F$18,0)+IF(Build!$G$18="ATTP",Build!$H$18,0))</f>
        <v/>
      </c>
      <c r="M6">
        <f>IF(Build!$B$18="(keep equipped)",EquipBase!$K$6,IF(OR(Build!$B$18="(none)",Build!$B$18=""),0,IFERROR(INDEX(GearDB_ACC,$B$6),0)))+IF(Build!$B$18="(keep equipped)",0,IF($C$6&gt;0,Build!$D$18*INDEX(AugDB_ACC,$C$6),0)+IF(Build!$E$18="ACC",Build!$F$18,0)+IF(Build!$G$18="ACC",Build!$H$18,0))</f>
        <v/>
      </c>
      <c r="N6">
        <f>IF(Build!$B$18="(keep equipped)",EquipBase!$L$6,IF(OR(Build!$B$18="(none)",Build!$B$18=""),0,IFERROR(INDEX(GearDB_CRITHITRATE,$B$6),0)))+IF(Build!$B$18="(keep equipped)",0,IF($C$6&gt;0,Build!$D$18*INDEX(AugDB_CRITHITRATE,$C$6),0)+IF(Build!$E$18="CRITHITRATE",Build!$F$18,0)+IF(Build!$G$18="CRITHITRATE",Build!$H$18,0))</f>
        <v/>
      </c>
      <c r="O6">
        <f>IF(Build!$B$18="(keep equipped)",EquipBase!$M$6,IF(OR(Build!$B$18="(none)",Build!$B$18=""),0,IFERROR(INDEX(GearDB_CRIT_DMG_INCREASE,$B$6),0)))+IF(Build!$B$18="(keep equipped)",0,IF($C$6&gt;0,Build!$D$18*INDEX(AugDB_CRIT_DMG_INCREASE,$C$6),0)+IF(Build!$E$18="CRIT_DMG_INCREASE",Build!$F$18,0)+IF(Build!$G$18="CRIT_DMG_INCREASE",Build!$H$18,0))</f>
        <v/>
      </c>
      <c r="P6">
        <f>IF(Build!$B$18="(keep equipped)",EquipBase!$N$6,IF(OR(Build!$B$18="(none)",Build!$B$18=""),0,IFERROR(INDEX(GearDB_DOUBLE_ATTACK,$B$6),0)))+IF(Build!$B$18="(keep equipped)",0,IF($C$6&gt;0,Build!$D$18*INDEX(AugDB_DOUBLE_ATTACK,$C$6),0)+IF(Build!$E$18="DOUBLE_ATTACK",Build!$F$18,0)+IF(Build!$G$18="DOUBLE_ATTACK",Build!$H$18,0))</f>
        <v/>
      </c>
      <c r="Q6">
        <f>IF(Build!$B$18="(keep equipped)",EquipBase!$O$6,IF(OR(Build!$B$18="(none)",Build!$B$18=""),0,IFERROR(INDEX(GearDB_TRIPLE_ATTACK,$B$6),0)))+IF(Build!$B$18="(keep equipped)",0,IF($C$6&gt;0,Build!$D$18*INDEX(AugDB_TRIPLE_ATTACK,$C$6),0)+IF(Build!$E$18="TRIPLE_ATTACK",Build!$F$18,0)+IF(Build!$G$18="TRIPLE_ATTACK",Build!$H$18,0))</f>
        <v/>
      </c>
      <c r="R6">
        <f>IF(Build!$B$18="(keep equipped)",EquipBase!$P$6,IF(OR(Build!$B$18="(none)",Build!$B$18=""),0,IFERROR(INDEX(GearDB_QUAD_ATTACK,$B$6),0)))+IF(Build!$B$18="(keep equipped)",0,IF($C$6&gt;0,Build!$D$18*INDEX(AugDB_QUAD_ATTACK,$C$6),0)+IF(Build!$E$18="QUAD_ATTACK",Build!$F$18,0)+IF(Build!$G$18="QUAD_ATTACK",Build!$H$18,0))</f>
        <v/>
      </c>
      <c r="S6">
        <f>IF(Build!$B$18="(keep equipped)",EquipBase!$Q$6,IF(OR(Build!$B$18="(none)",Build!$B$18=""),0,IFERROR(INDEX(GearDB_HASTE_GEAR,$B$6),0)))+IF(Build!$B$18="(keep equipped)",0,IF($C$6&gt;0,Build!$D$18*INDEX(AugDB_HASTE_GEAR,$C$6),0)+IF(Build!$E$18="HASTE_GEAR",Build!$F$18,0)+IF(Build!$G$18="HASTE_GEAR",Build!$H$18,0))</f>
        <v/>
      </c>
      <c r="T6">
        <f>IF(Build!$B$18="(keep equipped)",EquipBase!$R$6,IF(OR(Build!$B$18="(none)",Build!$B$18=""),0,IFERROR(INDEX(GearDB_HASTE_MAGIC,$B$6),0)))+IF(Build!$B$18="(keep equipped)",0,IF($C$6&gt;0,Build!$D$18*INDEX(AugDB_HASTE_MAGIC,$C$6),0)+IF(Build!$E$18="HASTE_MAGIC",Build!$F$18,0)+IF(Build!$G$18="HASTE_MAGIC",Build!$H$18,0))</f>
        <v/>
      </c>
      <c r="U6">
        <f>IF(Build!$B$18="(keep equipped)",EquipBase!$S$6,IF(OR(Build!$B$18="(none)",Build!$B$18=""),0,IFERROR(INDEX(GearDB_HASTE_ABILITY,$B$6),0)))+IF(Build!$B$18="(keep equipped)",0,IF($C$6&gt;0,Build!$D$18*INDEX(AugDB_HASTE_ABILITY,$C$6),0)+IF(Build!$E$18="HASTE_ABILITY",Build!$F$18,0)+IF(Build!$G$18="HASTE_ABILITY",Build!$H$18,0))</f>
        <v/>
      </c>
      <c r="V6">
        <f>IF(Build!$B$18="(keep equipped)",EquipBase!$T$6,IF(OR(Build!$B$18="(none)",Build!$B$18=""),0,IFERROR(INDEX(GearDB_DUAL_WIELD,$B$6),0)))+IF(Build!$B$18="(keep equipped)",0,IF($C$6&gt;0,Build!$D$18*INDEX(AugDB_DUAL_WIELD,$C$6),0)+IF(Build!$E$18="DUAL_WIELD",Build!$F$18,0)+IF(Build!$G$18="DUAL_WIELD",Build!$H$18,0))</f>
        <v/>
      </c>
      <c r="W6">
        <f>IF(Build!$B$18="(keep equipped)",EquipBase!$U$6,IF(OR(Build!$B$18="(none)",Build!$B$18=""),0,IFERROR(INDEX(GearDB_STORETP,$B$6),0)))+IF(Build!$B$18="(keep equipped)",0,IF($C$6&gt;0,Build!$D$18*INDEX(AugDB_STORETP,$C$6),0)+IF(Build!$E$18="STORETP",Build!$F$18,0)+IF(Build!$G$18="STORETP",Build!$H$18,0))</f>
        <v/>
      </c>
      <c r="X6">
        <f>IF(Build!$B$18="(keep equipped)",EquipBase!$V$6,IF(OR(Build!$B$18="(none)",Build!$B$18=""),0,IFERROR(INDEX(GearDB_TP_BONUS,$B$6),0)))+IF(Build!$B$18="(keep equipped)",0,IF($C$6&gt;0,Build!$D$18*INDEX(AugDB_TP_BONUS,$C$6),0)+IF(Build!$E$18="TP_BONUS",Build!$F$18,0)+IF(Build!$G$18="TP_BONUS",Build!$H$18,0))</f>
        <v/>
      </c>
      <c r="Y6">
        <f>IF(Build!$B$18="(keep equipped)",EquipBase!$W$6,IF(OR(Build!$B$18="(none)",Build!$B$18=""),0,IFERROR(INDEX(GearDB_ALL_WSDMG_ALL_HITS,$B$6),0)))+IF(Build!$B$18="(keep equipped)",0,IF($C$6&gt;0,Build!$D$18*INDEX(AugDB_ALL_WSDMG_ALL_HITS,$C$6),0)+IF(Build!$E$18="ALL_WSDMG_ALL_HITS",Build!$F$18,0)+IF(Build!$G$18="ALL_WSDMG_ALL_HITS",Build!$H$18,0))</f>
        <v/>
      </c>
      <c r="Z6">
        <f>IF(Build!$B$18="(keep equipped)",EquipBase!$X$6,IF(OR(Build!$B$18="(none)",Build!$B$18=""),0,IFERROR(INDEX(GearDB_ALL_WSDMG_FIRST_HIT,$B$6),0)))+IF(Build!$B$18="(keep equipped)",0,IF($C$6&gt;0,Build!$D$18*INDEX(AugDB_ALL_WSDMG_FIRST_HIT,$C$6),0)+IF(Build!$E$18="ALL_WSDMG_FIRST_HIT",Build!$F$18,0)+IF(Build!$G$18="ALL_WSDMG_FIRST_HIT",Build!$H$18,0))</f>
        <v/>
      </c>
      <c r="AA6">
        <f>IF(Build!$B$18="(keep equipped)",EquipBase!$Y$6,IF(OR(Build!$B$18="(none)",Build!$B$18=""),0,IFERROR(INDEX(GearDB_ANY_FTP_BONUS,$B$6),0)))+IF(Build!$B$18="(keep equipped)",0,IF($C$6&gt;0,Build!$D$18*INDEX(AugDB_ANY_FTP_BONUS,$C$6),0)+IF(Build!$E$18="ANY_FTP_BONUS",Build!$F$18,0)+IF(Build!$G$18="ANY_FTP_BONUS",Build!$H$18,0))</f>
        <v/>
      </c>
      <c r="AB6">
        <f>IF(Build!$B$18="(keep equipped)",EquipBase!$Z$6,IF(OR(Build!$B$18="(none)",Build!$B$18=""),0,IFERROR(INDEX(GearDB_WSACC,$B$6),0)))+IF(Build!$B$18="(keep equipped)",0,IF($C$6&gt;0,Build!$D$18*INDEX(AugDB_WSACC,$C$6),0)+IF(Build!$E$18="WSACC",Build!$F$18,0)+IF(Build!$G$18="WSACC",Build!$H$18,0))</f>
        <v/>
      </c>
      <c r="AC6">
        <f>IF(Build!$B$18="(keep equipped)",EquipBase!$AA$6,IF(OR(Build!$B$18="(none)",Build!$B$18=""),0,IFERROR(INDEX(GearDB_WSDMG_225,$B$6),0)))+IF(Build!$B$18="(keep equipped)",0,IF($C$6&gt;0,Build!$D$18*INDEX(AugDB_WSDMG_225,$C$6),0)+IF(Build!$E$18="WSDMG_225",Build!$F$18,0)+IF(Build!$G$18="WSDMG_225",Build!$H$18,0))</f>
        <v/>
      </c>
    </row>
    <row r="7">
      <c r="A7" t="inlineStr">
        <is>
          <t>legs</t>
        </is>
      </c>
      <c r="B7">
        <f>IFERROR(MATCH(Build!$B$19,GearDB_names,0),0)</f>
        <v/>
      </c>
      <c r="C7">
        <f>IFERROR(MATCH(Build!$C$19,AugDB_labels,0),0)</f>
        <v/>
      </c>
      <c r="D7">
        <f>IF(Build!$B$19="(keep equipped)",EquipBase!$B$7,IF(OR(Build!$B$19="(none)",Build!$B$19=""),0,IFERROR(INDEX(GearDB_STR,$B$7),0)))+IF(Build!$B$19="(keep equipped)",0,IF($C$7&gt;0,Build!$D$19*INDEX(AugDB_STR,$C$7),0)+IF(Build!$E$19="STR",Build!$F$19,0)+IF(Build!$G$19="STR",Build!$H$19,0))</f>
        <v/>
      </c>
      <c r="E7">
        <f>IF(Build!$B$19="(keep equipped)",EquipBase!$C$7,IF(OR(Build!$B$19="(none)",Build!$B$19=""),0,IFERROR(INDEX(GearDB_DEX,$B$7),0)))+IF(Build!$B$19="(keep equipped)",0,IF($C$7&gt;0,Build!$D$19*INDEX(AugDB_DEX,$C$7),0)+IF(Build!$E$19="DEX",Build!$F$19,0)+IF(Build!$G$19="DEX",Build!$H$19,0))</f>
        <v/>
      </c>
      <c r="F7">
        <f>IF(Build!$B$19="(keep equipped)",EquipBase!$D$7,IF(OR(Build!$B$19="(none)",Build!$B$19=""),0,IFERROR(INDEX(GearDB_VIT,$B$7),0)))+IF(Build!$B$19="(keep equipped)",0,IF($C$7&gt;0,Build!$D$19*INDEX(AugDB_VIT,$C$7),0)+IF(Build!$E$19="VIT",Build!$F$19,0)+IF(Build!$G$19="VIT",Build!$H$19,0))</f>
        <v/>
      </c>
      <c r="G7">
        <f>IF(Build!$B$19="(keep equipped)",EquipBase!$E$7,IF(OR(Build!$B$19="(none)",Build!$B$19=""),0,IFERROR(INDEX(GearDB_AGI,$B$7),0)))+IF(Build!$B$19="(keep equipped)",0,IF($C$7&gt;0,Build!$D$19*INDEX(AugDB_AGI,$C$7),0)+IF(Build!$E$19="AGI",Build!$F$19,0)+IF(Build!$G$19="AGI",Build!$H$19,0))</f>
        <v/>
      </c>
      <c r="H7">
        <f>IF(Build!$B$19="(keep equipped)",EquipBase!$F$7,IF(OR(Build!$B$19="(none)",Build!$B$19=""),0,IFERROR(INDEX(GearDB_INT,$B$7),0)))+IF(Build!$B$19="(keep equipped)",0,IF($C$7&gt;0,Build!$D$19*INDEX(AugDB_INT,$C$7),0)+IF(Build!$E$19="INT",Build!$F$19,0)+IF(Build!$G$19="INT",Build!$H$19,0))</f>
        <v/>
      </c>
      <c r="I7">
        <f>IF(Build!$B$19="(keep equipped)",EquipBase!$G$7,IF(OR(Build!$B$19="(none)",Build!$B$19=""),0,IFERROR(INDEX(GearDB_MND,$B$7),0)))+IF(Build!$B$19="(keep equipped)",0,IF($C$7&gt;0,Build!$D$19*INDEX(AugDB_MND,$C$7),0)+IF(Build!$E$19="MND",Build!$F$19,0)+IF(Build!$G$19="MND",Build!$H$19,0))</f>
        <v/>
      </c>
      <c r="J7">
        <f>IF(Build!$B$19="(keep equipped)",EquipBase!$H$7,IF(OR(Build!$B$19="(none)",Build!$B$19=""),0,IFERROR(INDEX(GearDB_CHR,$B$7),0)))+IF(Build!$B$19="(keep equipped)",0,IF($C$7&gt;0,Build!$D$19*INDEX(AugDB_CHR,$C$7),0)+IF(Build!$E$19="CHR",Build!$F$19,0)+IF(Build!$G$19="CHR",Build!$H$19,0))</f>
        <v/>
      </c>
      <c r="K7">
        <f>IF(Build!$B$19="(keep equipped)",EquipBase!$I$7,IF(OR(Build!$B$19="(none)",Build!$B$19=""),0,IFERROR(INDEX(GearDB_ATT,$B$7),0)))+IF(Build!$B$19="(keep equipped)",0,IF($C$7&gt;0,Build!$D$19*INDEX(AugDB_ATT,$C$7),0)+IF(Build!$E$19="ATT",Build!$F$19,0)+IF(Build!$G$19="ATT",Build!$H$19,0))</f>
        <v/>
      </c>
      <c r="L7">
        <f>IF(Build!$B$19="(keep equipped)",EquipBase!$J$7,IF(OR(Build!$B$19="(none)",Build!$B$19=""),0,IFERROR(INDEX(GearDB_ATTP,$B$7),0)))+IF(Build!$B$19="(keep equipped)",0,IF($C$7&gt;0,Build!$D$19*INDEX(AugDB_ATTP,$C$7),0)+IF(Build!$E$19="ATTP",Build!$F$19,0)+IF(Build!$G$19="ATTP",Build!$H$19,0))</f>
        <v/>
      </c>
      <c r="M7">
        <f>IF(Build!$B$19="(keep equipped)",EquipBase!$K$7,IF(OR(Build!$B$19="(none)",Build!$B$19=""),0,IFERROR(INDEX(GearDB_ACC,$B$7),0)))+IF(Build!$B$19="(keep equipped)",0,IF($C$7&gt;0,Build!$D$19*INDEX(AugDB_ACC,$C$7),0)+IF(Build!$E$19="ACC",Build!$F$19,0)+IF(Build!$G$19="ACC",Build!$H$19,0))</f>
        <v/>
      </c>
      <c r="N7">
        <f>IF(Build!$B$19="(keep equipped)",EquipBase!$L$7,IF(OR(Build!$B$19="(none)",Build!$B$19=""),0,IFERROR(INDEX(GearDB_CRITHITRATE,$B$7),0)))+IF(Build!$B$19="(keep equipped)",0,IF($C$7&gt;0,Build!$D$19*INDEX(AugDB_CRITHITRATE,$C$7),0)+IF(Build!$E$19="CRITHITRATE",Build!$F$19,0)+IF(Build!$G$19="CRITHITRATE",Build!$H$19,0))</f>
        <v/>
      </c>
      <c r="O7">
        <f>IF(Build!$B$19="(keep equipped)",EquipBase!$M$7,IF(OR(Build!$B$19="(none)",Build!$B$19=""),0,IFERROR(INDEX(GearDB_CRIT_DMG_INCREASE,$B$7),0)))+IF(Build!$B$19="(keep equipped)",0,IF($C$7&gt;0,Build!$D$19*INDEX(AugDB_CRIT_DMG_INCREASE,$C$7),0)+IF(Build!$E$19="CRIT_DMG_INCREASE",Build!$F$19,0)+IF(Build!$G$19="CRIT_DMG_INCREASE",Build!$H$19,0))</f>
        <v/>
      </c>
      <c r="P7">
        <f>IF(Build!$B$19="(keep equipped)",EquipBase!$N$7,IF(OR(Build!$B$19="(none)",Build!$B$19=""),0,IFERROR(INDEX(GearDB_DOUBLE_ATTACK,$B$7),0)))+IF(Build!$B$19="(keep equipped)",0,IF($C$7&gt;0,Build!$D$19*INDEX(AugDB_DOUBLE_ATTACK,$C$7),0)+IF(Build!$E$19="DOUBLE_ATTACK",Build!$F$19,0)+IF(Build!$G$19="DOUBLE_ATTACK",Build!$H$19,0))</f>
        <v/>
      </c>
      <c r="Q7">
        <f>IF(Build!$B$19="(keep equipped)",EquipBase!$O$7,IF(OR(Build!$B$19="(none)",Build!$B$19=""),0,IFERROR(INDEX(GearDB_TRIPLE_ATTACK,$B$7),0)))+IF(Build!$B$19="(keep equipped)",0,IF($C$7&gt;0,Build!$D$19*INDEX(AugDB_TRIPLE_ATTACK,$C$7),0)+IF(Build!$E$19="TRIPLE_ATTACK",Build!$F$19,0)+IF(Build!$G$19="TRIPLE_ATTACK",Build!$H$19,0))</f>
        <v/>
      </c>
      <c r="R7">
        <f>IF(Build!$B$19="(keep equipped)",EquipBase!$P$7,IF(OR(Build!$B$19="(none)",Build!$B$19=""),0,IFERROR(INDEX(GearDB_QUAD_ATTACK,$B$7),0)))+IF(Build!$B$19="(keep equipped)",0,IF($C$7&gt;0,Build!$D$19*INDEX(AugDB_QUAD_ATTACK,$C$7),0)+IF(Build!$E$19="QUAD_ATTACK",Build!$F$19,0)+IF(Build!$G$19="QUAD_ATTACK",Build!$H$19,0))</f>
        <v/>
      </c>
      <c r="S7">
        <f>IF(Build!$B$19="(keep equipped)",EquipBase!$Q$7,IF(OR(Build!$B$19="(none)",Build!$B$19=""),0,IFERROR(INDEX(GearDB_HASTE_GEAR,$B$7),0)))+IF(Build!$B$19="(keep equipped)",0,IF($C$7&gt;0,Build!$D$19*INDEX(AugDB_HASTE_GEAR,$C$7),0)+IF(Build!$E$19="HASTE_GEAR",Build!$F$19,0)+IF(Build!$G$19="HASTE_GEAR",Build!$H$19,0))</f>
        <v/>
      </c>
      <c r="T7">
        <f>IF(Build!$B$19="(keep equipped)",EquipBase!$R$7,IF(OR(Build!$B$19="(none)",Build!$B$19=""),0,IFERROR(INDEX(GearDB_HASTE_MAGIC,$B$7),0)))+IF(Build!$B$19="(keep equipped)",0,IF($C$7&gt;0,Build!$D$19*INDEX(AugDB_HASTE_MAGIC,$C$7),0)+IF(Build!$E$19="HASTE_MAGIC",Build!$F$19,0)+IF(Build!$G$19="HASTE_MAGIC",Build!$H$19,0))</f>
        <v/>
      </c>
      <c r="U7">
        <f>IF(Build!$B$19="(keep equipped)",EquipBase!$S$7,IF(OR(Build!$B$19="(none)",Build!$B$19=""),0,IFERROR(INDEX(GearDB_HASTE_ABILITY,$B$7),0)))+IF(Build!$B$19="(keep equipped)",0,IF($C$7&gt;0,Build!$D$19*INDEX(AugDB_HASTE_ABILITY,$C$7),0)+IF(Build!$E$19="HASTE_ABILITY",Build!$F$19,0)+IF(Build!$G$19="HASTE_ABILITY",Build!$H$19,0))</f>
        <v/>
      </c>
      <c r="V7">
        <f>IF(Build!$B$19="(keep equipped)",EquipBase!$T$7,IF(OR(Build!$B$19="(none)",Build!$B$19=""),0,IFERROR(INDEX(GearDB_DUAL_WIELD,$B$7),0)))+IF(Build!$B$19="(keep equipped)",0,IF($C$7&gt;0,Build!$D$19*INDEX(AugDB_DUAL_WIELD,$C$7),0)+IF(Build!$E$19="DUAL_WIELD",Build!$F$19,0)+IF(Build!$G$19="DUAL_WIELD",Build!$H$19,0))</f>
        <v/>
      </c>
      <c r="W7">
        <f>IF(Build!$B$19="(keep equipped)",EquipBase!$U$7,IF(OR(Build!$B$19="(none)",Build!$B$19=""),0,IFERROR(INDEX(GearDB_STORETP,$B$7),0)))+IF(Build!$B$19="(keep equipped)",0,IF($C$7&gt;0,Build!$D$19*INDEX(AugDB_STORETP,$C$7),0)+IF(Build!$E$19="STORETP",Build!$F$19,0)+IF(Build!$G$19="STORETP",Build!$H$19,0))</f>
        <v/>
      </c>
      <c r="X7">
        <f>IF(Build!$B$19="(keep equipped)",EquipBase!$V$7,IF(OR(Build!$B$19="(none)",Build!$B$19=""),0,IFERROR(INDEX(GearDB_TP_BONUS,$B$7),0)))+IF(Build!$B$19="(keep equipped)",0,IF($C$7&gt;0,Build!$D$19*INDEX(AugDB_TP_BONUS,$C$7),0)+IF(Build!$E$19="TP_BONUS",Build!$F$19,0)+IF(Build!$G$19="TP_BONUS",Build!$H$19,0))</f>
        <v/>
      </c>
      <c r="Y7">
        <f>IF(Build!$B$19="(keep equipped)",EquipBase!$W$7,IF(OR(Build!$B$19="(none)",Build!$B$19=""),0,IFERROR(INDEX(GearDB_ALL_WSDMG_ALL_HITS,$B$7),0)))+IF(Build!$B$19="(keep equipped)",0,IF($C$7&gt;0,Build!$D$19*INDEX(AugDB_ALL_WSDMG_ALL_HITS,$C$7),0)+IF(Build!$E$19="ALL_WSDMG_ALL_HITS",Build!$F$19,0)+IF(Build!$G$19="ALL_WSDMG_ALL_HITS",Build!$H$19,0))</f>
        <v/>
      </c>
      <c r="Z7">
        <f>IF(Build!$B$19="(keep equipped)",EquipBase!$X$7,IF(OR(Build!$B$19="(none)",Build!$B$19=""),0,IFERROR(INDEX(GearDB_ALL_WSDMG_FIRST_HIT,$B$7),0)))+IF(Build!$B$19="(keep equipped)",0,IF($C$7&gt;0,Build!$D$19*INDEX(AugDB_ALL_WSDMG_FIRST_HIT,$C$7),0)+IF(Build!$E$19="ALL_WSDMG_FIRST_HIT",Build!$F$19,0)+IF(Build!$G$19="ALL_WSDMG_FIRST_HIT",Build!$H$19,0))</f>
        <v/>
      </c>
      <c r="AA7">
        <f>IF(Build!$B$19="(keep equipped)",EquipBase!$Y$7,IF(OR(Build!$B$19="(none)",Build!$B$19=""),0,IFERROR(INDEX(GearDB_ANY_FTP_BONUS,$B$7),0)))+IF(Build!$B$19="(keep equipped)",0,IF($C$7&gt;0,Build!$D$19*INDEX(AugDB_ANY_FTP_BONUS,$C$7),0)+IF(Build!$E$19="ANY_FTP_BONUS",Build!$F$19,0)+IF(Build!$G$19="ANY_FTP_BONUS",Build!$H$19,0))</f>
        <v/>
      </c>
      <c r="AB7">
        <f>IF(Build!$B$19="(keep equipped)",EquipBase!$Z$7,IF(OR(Build!$B$19="(none)",Build!$B$19=""),0,IFERROR(INDEX(GearDB_WSACC,$B$7),0)))+IF(Build!$B$19="(keep equipped)",0,IF($C$7&gt;0,Build!$D$19*INDEX(AugDB_WSACC,$C$7),0)+IF(Build!$E$19="WSACC",Build!$F$19,0)+IF(Build!$G$19="WSACC",Build!$H$19,0))</f>
        <v/>
      </c>
      <c r="AC7">
        <f>IF(Build!$B$19="(keep equipped)",EquipBase!$AA$7,IF(OR(Build!$B$19="(none)",Build!$B$19=""),0,IFERROR(INDEX(GearDB_WSDMG_225,$B$7),0)))+IF(Build!$B$19="(keep equipped)",0,IF($C$7&gt;0,Build!$D$19*INDEX(AugDB_WSDMG_225,$C$7),0)+IF(Build!$E$19="WSDMG_225",Build!$F$19,0)+IF(Build!$G$19="WSDMG_225",Build!$H$19,0))</f>
        <v/>
      </c>
    </row>
    <row r="8">
      <c r="A8" t="inlineStr">
        <is>
          <t>feet</t>
        </is>
      </c>
      <c r="B8">
        <f>IFERROR(MATCH(Build!$B$20,GearDB_names,0),0)</f>
        <v/>
      </c>
      <c r="C8">
        <f>IFERROR(MATCH(Build!$C$20,AugDB_labels,0),0)</f>
        <v/>
      </c>
      <c r="D8">
        <f>IF(Build!$B$20="(keep equipped)",EquipBase!$B$8,IF(OR(Build!$B$20="(none)",Build!$B$20=""),0,IFERROR(INDEX(GearDB_STR,$B$8),0)))+IF(Build!$B$20="(keep equipped)",0,IF($C$8&gt;0,Build!$D$20*INDEX(AugDB_STR,$C$8),0)+IF(Build!$E$20="STR",Build!$F$20,0)+IF(Build!$G$20="STR",Build!$H$20,0))</f>
        <v/>
      </c>
      <c r="E8">
        <f>IF(Build!$B$20="(keep equipped)",EquipBase!$C$8,IF(OR(Build!$B$20="(none)",Build!$B$20=""),0,IFERROR(INDEX(GearDB_DEX,$B$8),0)))+IF(Build!$B$20="(keep equipped)",0,IF($C$8&gt;0,Build!$D$20*INDEX(AugDB_DEX,$C$8),0)+IF(Build!$E$20="DEX",Build!$F$20,0)+IF(Build!$G$20="DEX",Build!$H$20,0))</f>
        <v/>
      </c>
      <c r="F8">
        <f>IF(Build!$B$20="(keep equipped)",EquipBase!$D$8,IF(OR(Build!$B$20="(none)",Build!$B$20=""),0,IFERROR(INDEX(GearDB_VIT,$B$8),0)))+IF(Build!$B$20="(keep equipped)",0,IF($C$8&gt;0,Build!$D$20*INDEX(AugDB_VIT,$C$8),0)+IF(Build!$E$20="VIT",Build!$F$20,0)+IF(Build!$G$20="VIT",Build!$H$20,0))</f>
        <v/>
      </c>
      <c r="G8">
        <f>IF(Build!$B$20="(keep equipped)",EquipBase!$E$8,IF(OR(Build!$B$20="(none)",Build!$B$20=""),0,IFERROR(INDEX(GearDB_AGI,$B$8),0)))+IF(Build!$B$20="(keep equipped)",0,IF($C$8&gt;0,Build!$D$20*INDEX(AugDB_AGI,$C$8),0)+IF(Build!$E$20="AGI",Build!$F$20,0)+IF(Build!$G$20="AGI",Build!$H$20,0))</f>
        <v/>
      </c>
      <c r="H8">
        <f>IF(Build!$B$20="(keep equipped)",EquipBase!$F$8,IF(OR(Build!$B$20="(none)",Build!$B$20=""),0,IFERROR(INDEX(GearDB_INT,$B$8),0)))+IF(Build!$B$20="(keep equipped)",0,IF($C$8&gt;0,Build!$D$20*INDEX(AugDB_INT,$C$8),0)+IF(Build!$E$20="INT",Build!$F$20,0)+IF(Build!$G$20="INT",Build!$H$20,0))</f>
        <v/>
      </c>
      <c r="I8">
        <f>IF(Build!$B$20="(keep equipped)",EquipBase!$G$8,IF(OR(Build!$B$20="(none)",Build!$B$20=""),0,IFERROR(INDEX(GearDB_MND,$B$8),0)))+IF(Build!$B$20="(keep equipped)",0,IF($C$8&gt;0,Build!$D$20*INDEX(AugDB_MND,$C$8),0)+IF(Build!$E$20="MND",Build!$F$20,0)+IF(Build!$G$20="MND",Build!$H$20,0))</f>
        <v/>
      </c>
      <c r="J8">
        <f>IF(Build!$B$20="(keep equipped)",EquipBase!$H$8,IF(OR(Build!$B$20="(none)",Build!$B$20=""),0,IFERROR(INDEX(GearDB_CHR,$B$8),0)))+IF(Build!$B$20="(keep equipped)",0,IF($C$8&gt;0,Build!$D$20*INDEX(AugDB_CHR,$C$8),0)+IF(Build!$E$20="CHR",Build!$F$20,0)+IF(Build!$G$20="CHR",Build!$H$20,0))</f>
        <v/>
      </c>
      <c r="K8">
        <f>IF(Build!$B$20="(keep equipped)",EquipBase!$I$8,IF(OR(Build!$B$20="(none)",Build!$B$20=""),0,IFERROR(INDEX(GearDB_ATT,$B$8),0)))+IF(Build!$B$20="(keep equipped)",0,IF($C$8&gt;0,Build!$D$20*INDEX(AugDB_ATT,$C$8),0)+IF(Build!$E$20="ATT",Build!$F$20,0)+IF(Build!$G$20="ATT",Build!$H$20,0))</f>
        <v/>
      </c>
      <c r="L8">
        <f>IF(Build!$B$20="(keep equipped)",EquipBase!$J$8,IF(OR(Build!$B$20="(none)",Build!$B$20=""),0,IFERROR(INDEX(GearDB_ATTP,$B$8),0)))+IF(Build!$B$20="(keep equipped)",0,IF($C$8&gt;0,Build!$D$20*INDEX(AugDB_ATTP,$C$8),0)+IF(Build!$E$20="ATTP",Build!$F$20,0)+IF(Build!$G$20="ATTP",Build!$H$20,0))</f>
        <v/>
      </c>
      <c r="M8">
        <f>IF(Build!$B$20="(keep equipped)",EquipBase!$K$8,IF(OR(Build!$B$20="(none)",Build!$B$20=""),0,IFERROR(INDEX(GearDB_ACC,$B$8),0)))+IF(Build!$B$20="(keep equipped)",0,IF($C$8&gt;0,Build!$D$20*INDEX(AugDB_ACC,$C$8),0)+IF(Build!$E$20="ACC",Build!$F$20,0)+IF(Build!$G$20="ACC",Build!$H$20,0))</f>
        <v/>
      </c>
      <c r="N8">
        <f>IF(Build!$B$20="(keep equipped)",EquipBase!$L$8,IF(OR(Build!$B$20="(none)",Build!$B$20=""),0,IFERROR(INDEX(GearDB_CRITHITRATE,$B$8),0)))+IF(Build!$B$20="(keep equipped)",0,IF($C$8&gt;0,Build!$D$20*INDEX(AugDB_CRITHITRATE,$C$8),0)+IF(Build!$E$20="CRITHITRATE",Build!$F$20,0)+IF(Build!$G$20="CRITHITRATE",Build!$H$20,0))</f>
        <v/>
      </c>
      <c r="O8">
        <f>IF(Build!$B$20="(keep equipped)",EquipBase!$M$8,IF(OR(Build!$B$20="(none)",Build!$B$20=""),0,IFERROR(INDEX(GearDB_CRIT_DMG_INCREASE,$B$8),0)))+IF(Build!$B$20="(keep equipped)",0,IF($C$8&gt;0,Build!$D$20*INDEX(AugDB_CRIT_DMG_INCREASE,$C$8),0)+IF(Build!$E$20="CRIT_DMG_INCREASE",Build!$F$20,0)+IF(Build!$G$20="CRIT_DMG_INCREASE",Build!$H$20,0))</f>
        <v/>
      </c>
      <c r="P8">
        <f>IF(Build!$B$20="(keep equipped)",EquipBase!$N$8,IF(OR(Build!$B$20="(none)",Build!$B$20=""),0,IFERROR(INDEX(GearDB_DOUBLE_ATTACK,$B$8),0)))+IF(Build!$B$20="(keep equipped)",0,IF($C$8&gt;0,Build!$D$20*INDEX(AugDB_DOUBLE_ATTACK,$C$8),0)+IF(Build!$E$20="DOUBLE_ATTACK",Build!$F$20,0)+IF(Build!$G$20="DOUBLE_ATTACK",Build!$H$20,0))</f>
        <v/>
      </c>
      <c r="Q8">
        <f>IF(Build!$B$20="(keep equipped)",EquipBase!$O$8,IF(OR(Build!$B$20="(none)",Build!$B$20=""),0,IFERROR(INDEX(GearDB_TRIPLE_ATTACK,$B$8),0)))+IF(Build!$B$20="(keep equipped)",0,IF($C$8&gt;0,Build!$D$20*INDEX(AugDB_TRIPLE_ATTACK,$C$8),0)+IF(Build!$E$20="TRIPLE_ATTACK",Build!$F$20,0)+IF(Build!$G$20="TRIPLE_ATTACK",Build!$H$20,0))</f>
        <v/>
      </c>
      <c r="R8">
        <f>IF(Build!$B$20="(keep equipped)",EquipBase!$P$8,IF(OR(Build!$B$20="(none)",Build!$B$20=""),0,IFERROR(INDEX(GearDB_QUAD_ATTACK,$B$8),0)))+IF(Build!$B$20="(keep equipped)",0,IF($C$8&gt;0,Build!$D$20*INDEX(AugDB_QUAD_ATTACK,$C$8),0)+IF(Build!$E$20="QUAD_ATTACK",Build!$F$20,0)+IF(Build!$G$20="QUAD_ATTACK",Build!$H$20,0))</f>
        <v/>
      </c>
      <c r="S8">
        <f>IF(Build!$B$20="(keep equipped)",EquipBase!$Q$8,IF(OR(Build!$B$20="(none)",Build!$B$20=""),0,IFERROR(INDEX(GearDB_HASTE_GEAR,$B$8),0)))+IF(Build!$B$20="(keep equipped)",0,IF($C$8&gt;0,Build!$D$20*INDEX(AugDB_HASTE_GEAR,$C$8),0)+IF(Build!$E$20="HASTE_GEAR",Build!$F$20,0)+IF(Build!$G$20="HASTE_GEAR",Build!$H$20,0))</f>
        <v/>
      </c>
      <c r="T8">
        <f>IF(Build!$B$20="(keep equipped)",EquipBase!$R$8,IF(OR(Build!$B$20="(none)",Build!$B$20=""),0,IFERROR(INDEX(GearDB_HASTE_MAGIC,$B$8),0)))+IF(Build!$B$20="(keep equipped)",0,IF($C$8&gt;0,Build!$D$20*INDEX(AugDB_HASTE_MAGIC,$C$8),0)+IF(Build!$E$20="HASTE_MAGIC",Build!$F$20,0)+IF(Build!$G$20="HASTE_MAGIC",Build!$H$20,0))</f>
        <v/>
      </c>
      <c r="U8">
        <f>IF(Build!$B$20="(keep equipped)",EquipBase!$S$8,IF(OR(Build!$B$20="(none)",Build!$B$20=""),0,IFERROR(INDEX(GearDB_HASTE_ABILITY,$B$8),0)))+IF(Build!$B$20="(keep equipped)",0,IF($C$8&gt;0,Build!$D$20*INDEX(AugDB_HASTE_ABILITY,$C$8),0)+IF(Build!$E$20="HASTE_ABILITY",Build!$F$20,0)+IF(Build!$G$20="HASTE_ABILITY",Build!$H$20,0))</f>
        <v/>
      </c>
      <c r="V8">
        <f>IF(Build!$B$20="(keep equipped)",EquipBase!$T$8,IF(OR(Build!$B$20="(none)",Build!$B$20=""),0,IFERROR(INDEX(GearDB_DUAL_WIELD,$B$8),0)))+IF(Build!$B$20="(keep equipped)",0,IF($C$8&gt;0,Build!$D$20*INDEX(AugDB_DUAL_WIELD,$C$8),0)+IF(Build!$E$20="DUAL_WIELD",Build!$F$20,0)+IF(Build!$G$20="DUAL_WIELD",Build!$H$20,0))</f>
        <v/>
      </c>
      <c r="W8">
        <f>IF(Build!$B$20="(keep equipped)",EquipBase!$U$8,IF(OR(Build!$B$20="(none)",Build!$B$20=""),0,IFERROR(INDEX(GearDB_STORETP,$B$8),0)))+IF(Build!$B$20="(keep equipped)",0,IF($C$8&gt;0,Build!$D$20*INDEX(AugDB_STORETP,$C$8),0)+IF(Build!$E$20="STORETP",Build!$F$20,0)+IF(Build!$G$20="STORETP",Build!$H$20,0))</f>
        <v/>
      </c>
      <c r="X8">
        <f>IF(Build!$B$20="(keep equipped)",EquipBase!$V$8,IF(OR(Build!$B$20="(none)",Build!$B$20=""),0,IFERROR(INDEX(GearDB_TP_BONUS,$B$8),0)))+IF(Build!$B$20="(keep equipped)",0,IF($C$8&gt;0,Build!$D$20*INDEX(AugDB_TP_BONUS,$C$8),0)+IF(Build!$E$20="TP_BONUS",Build!$F$20,0)+IF(Build!$G$20="TP_BONUS",Build!$H$20,0))</f>
        <v/>
      </c>
      <c r="Y8">
        <f>IF(Build!$B$20="(keep equipped)",EquipBase!$W$8,IF(OR(Build!$B$20="(none)",Build!$B$20=""),0,IFERROR(INDEX(GearDB_ALL_WSDMG_ALL_HITS,$B$8),0)))+IF(Build!$B$20="(keep equipped)",0,IF($C$8&gt;0,Build!$D$20*INDEX(AugDB_ALL_WSDMG_ALL_HITS,$C$8),0)+IF(Build!$E$20="ALL_WSDMG_ALL_HITS",Build!$F$20,0)+IF(Build!$G$20="ALL_WSDMG_ALL_HITS",Build!$H$20,0))</f>
        <v/>
      </c>
      <c r="Z8">
        <f>IF(Build!$B$20="(keep equipped)",EquipBase!$X$8,IF(OR(Build!$B$20="(none)",Build!$B$20=""),0,IFERROR(INDEX(GearDB_ALL_WSDMG_FIRST_HIT,$B$8),0)))+IF(Build!$B$20="(keep equipped)",0,IF($C$8&gt;0,Build!$D$20*INDEX(AugDB_ALL_WSDMG_FIRST_HIT,$C$8),0)+IF(Build!$E$20="ALL_WSDMG_FIRST_HIT",Build!$F$20,0)+IF(Build!$G$20="ALL_WSDMG_FIRST_HIT",Build!$H$20,0))</f>
        <v/>
      </c>
      <c r="AA8">
        <f>IF(Build!$B$20="(keep equipped)",EquipBase!$Y$8,IF(OR(Build!$B$20="(none)",Build!$B$20=""),0,IFERROR(INDEX(GearDB_ANY_FTP_BONUS,$B$8),0)))+IF(Build!$B$20="(keep equipped)",0,IF($C$8&gt;0,Build!$D$20*INDEX(AugDB_ANY_FTP_BONUS,$C$8),0)+IF(Build!$E$20="ANY_FTP_BONUS",Build!$F$20,0)+IF(Build!$G$20="ANY_FTP_BONUS",Build!$H$20,0))</f>
        <v/>
      </c>
      <c r="AB8">
        <f>IF(Build!$B$20="(keep equipped)",EquipBase!$Z$8,IF(OR(Build!$B$20="(none)",Build!$B$20=""),0,IFERROR(INDEX(GearDB_WSACC,$B$8),0)))+IF(Build!$B$20="(keep equipped)",0,IF($C$8&gt;0,Build!$D$20*INDEX(AugDB_WSACC,$C$8),0)+IF(Build!$E$20="WSACC",Build!$F$20,0)+IF(Build!$G$20="WSACC",Build!$H$20,0))</f>
        <v/>
      </c>
      <c r="AC8">
        <f>IF(Build!$B$20="(keep equipped)",EquipBase!$AA$8,IF(OR(Build!$B$20="(none)",Build!$B$20=""),0,IFERROR(INDEX(GearDB_WSDMG_225,$B$8),0)))+IF(Build!$B$20="(keep equipped)",0,IF($C$8&gt;0,Build!$D$20*INDEX(AugDB_WSDMG_225,$C$8),0)+IF(Build!$E$20="WSDMG_225",Build!$F$20,0)+IF(Build!$G$20="WSDMG_225",Build!$H$20,0))</f>
        <v/>
      </c>
    </row>
    <row r="9">
      <c r="A9" t="inlineStr">
        <is>
          <t>neck</t>
        </is>
      </c>
      <c r="B9">
        <f>IFERROR(MATCH(Build!$B$21,GearDB_names,0),0)</f>
        <v/>
      </c>
      <c r="C9">
        <f>IFERROR(MATCH(Build!$C$21,AugDB_labels,0),0)</f>
        <v/>
      </c>
      <c r="D9">
        <f>IF(Build!$B$21="(keep equipped)",EquipBase!$B$9,IF(OR(Build!$B$21="(none)",Build!$B$21=""),0,IFERROR(INDEX(GearDB_STR,$B$9),0)))+IF(Build!$B$21="(keep equipped)",0,IF($C$9&gt;0,Build!$D$21*INDEX(AugDB_STR,$C$9),0)+IF(Build!$E$21="STR",Build!$F$21,0)+IF(Build!$G$21="STR",Build!$H$21,0))</f>
        <v/>
      </c>
      <c r="E9">
        <f>IF(Build!$B$21="(keep equipped)",EquipBase!$C$9,IF(OR(Build!$B$21="(none)",Build!$B$21=""),0,IFERROR(INDEX(GearDB_DEX,$B$9),0)))+IF(Build!$B$21="(keep equipped)",0,IF($C$9&gt;0,Build!$D$21*INDEX(AugDB_DEX,$C$9),0)+IF(Build!$E$21="DEX",Build!$F$21,0)+IF(Build!$G$21="DEX",Build!$H$21,0))</f>
        <v/>
      </c>
      <c r="F9">
        <f>IF(Build!$B$21="(keep equipped)",EquipBase!$D$9,IF(OR(Build!$B$21="(none)",Build!$B$21=""),0,IFERROR(INDEX(GearDB_VIT,$B$9),0)))+IF(Build!$B$21="(keep equipped)",0,IF($C$9&gt;0,Build!$D$21*INDEX(AugDB_VIT,$C$9),0)+IF(Build!$E$21="VIT",Build!$F$21,0)+IF(Build!$G$21="VIT",Build!$H$21,0))</f>
        <v/>
      </c>
      <c r="G9">
        <f>IF(Build!$B$21="(keep equipped)",EquipBase!$E$9,IF(OR(Build!$B$21="(none)",Build!$B$21=""),0,IFERROR(INDEX(GearDB_AGI,$B$9),0)))+IF(Build!$B$21="(keep equipped)",0,IF($C$9&gt;0,Build!$D$21*INDEX(AugDB_AGI,$C$9),0)+IF(Build!$E$21="AGI",Build!$F$21,0)+IF(Build!$G$21="AGI",Build!$H$21,0))</f>
        <v/>
      </c>
      <c r="H9">
        <f>IF(Build!$B$21="(keep equipped)",EquipBase!$F$9,IF(OR(Build!$B$21="(none)",Build!$B$21=""),0,IFERROR(INDEX(GearDB_INT,$B$9),0)))+IF(Build!$B$21="(keep equipped)",0,IF($C$9&gt;0,Build!$D$21*INDEX(AugDB_INT,$C$9),0)+IF(Build!$E$21="INT",Build!$F$21,0)+IF(Build!$G$21="INT",Build!$H$21,0))</f>
        <v/>
      </c>
      <c r="I9">
        <f>IF(Build!$B$21="(keep equipped)",EquipBase!$G$9,IF(OR(Build!$B$21="(none)",Build!$B$21=""),0,IFERROR(INDEX(GearDB_MND,$B$9),0)))+IF(Build!$B$21="(keep equipped)",0,IF($C$9&gt;0,Build!$D$21*INDEX(AugDB_MND,$C$9),0)+IF(Build!$E$21="MND",Build!$F$21,0)+IF(Build!$G$21="MND",Build!$H$21,0))</f>
        <v/>
      </c>
      <c r="J9">
        <f>IF(Build!$B$21="(keep equipped)",EquipBase!$H$9,IF(OR(Build!$B$21="(none)",Build!$B$21=""),0,IFERROR(INDEX(GearDB_CHR,$B$9),0)))+IF(Build!$B$21="(keep equipped)",0,IF($C$9&gt;0,Build!$D$21*INDEX(AugDB_CHR,$C$9),0)+IF(Build!$E$21="CHR",Build!$F$21,0)+IF(Build!$G$21="CHR",Build!$H$21,0))</f>
        <v/>
      </c>
      <c r="K9">
        <f>IF(Build!$B$21="(keep equipped)",EquipBase!$I$9,IF(OR(Build!$B$21="(none)",Build!$B$21=""),0,IFERROR(INDEX(GearDB_ATT,$B$9),0)))+IF(Build!$B$21="(keep equipped)",0,IF($C$9&gt;0,Build!$D$21*INDEX(AugDB_ATT,$C$9),0)+IF(Build!$E$21="ATT",Build!$F$21,0)+IF(Build!$G$21="ATT",Build!$H$21,0))</f>
        <v/>
      </c>
      <c r="L9">
        <f>IF(Build!$B$21="(keep equipped)",EquipBase!$J$9,IF(OR(Build!$B$21="(none)",Build!$B$21=""),0,IFERROR(INDEX(GearDB_ATTP,$B$9),0)))+IF(Build!$B$21="(keep equipped)",0,IF($C$9&gt;0,Build!$D$21*INDEX(AugDB_ATTP,$C$9),0)+IF(Build!$E$21="ATTP",Build!$F$21,0)+IF(Build!$G$21="ATTP",Build!$H$21,0))</f>
        <v/>
      </c>
      <c r="M9">
        <f>IF(Build!$B$21="(keep equipped)",EquipBase!$K$9,IF(OR(Build!$B$21="(none)",Build!$B$21=""),0,IFERROR(INDEX(GearDB_ACC,$B$9),0)))+IF(Build!$B$21="(keep equipped)",0,IF($C$9&gt;0,Build!$D$21*INDEX(AugDB_ACC,$C$9),0)+IF(Build!$E$21="ACC",Build!$F$21,0)+IF(Build!$G$21="ACC",Build!$H$21,0))</f>
        <v/>
      </c>
      <c r="N9">
        <f>IF(Build!$B$21="(keep equipped)",EquipBase!$L$9,IF(OR(Build!$B$21="(none)",Build!$B$21=""),0,IFERROR(INDEX(GearDB_CRITHITRATE,$B$9),0)))+IF(Build!$B$21="(keep equipped)",0,IF($C$9&gt;0,Build!$D$21*INDEX(AugDB_CRITHITRATE,$C$9),0)+IF(Build!$E$21="CRITHITRATE",Build!$F$21,0)+IF(Build!$G$21="CRITHITRATE",Build!$H$21,0))</f>
        <v/>
      </c>
      <c r="O9">
        <f>IF(Build!$B$21="(keep equipped)",EquipBase!$M$9,IF(OR(Build!$B$21="(none)",Build!$B$21=""),0,IFERROR(INDEX(GearDB_CRIT_DMG_INCREASE,$B$9),0)))+IF(Build!$B$21="(keep equipped)",0,IF($C$9&gt;0,Build!$D$21*INDEX(AugDB_CRIT_DMG_INCREASE,$C$9),0)+IF(Build!$E$21="CRIT_DMG_INCREASE",Build!$F$21,0)+IF(Build!$G$21="CRIT_DMG_INCREASE",Build!$H$21,0))</f>
        <v/>
      </c>
      <c r="P9">
        <f>IF(Build!$B$21="(keep equipped)",EquipBase!$N$9,IF(OR(Build!$B$21="(none)",Build!$B$21=""),0,IFERROR(INDEX(GearDB_DOUBLE_ATTACK,$B$9),0)))+IF(Build!$B$21="(keep equipped)",0,IF($C$9&gt;0,Build!$D$21*INDEX(AugDB_DOUBLE_ATTACK,$C$9),0)+IF(Build!$E$21="DOUBLE_ATTACK",Build!$F$21,0)+IF(Build!$G$21="DOUBLE_ATTACK",Build!$H$21,0))</f>
        <v/>
      </c>
      <c r="Q9">
        <f>IF(Build!$B$21="(keep equipped)",EquipBase!$O$9,IF(OR(Build!$B$21="(none)",Build!$B$21=""),0,IFERROR(INDEX(GearDB_TRIPLE_ATTACK,$B$9),0)))+IF(Build!$B$21="(keep equipped)",0,IF($C$9&gt;0,Build!$D$21*INDEX(AugDB_TRIPLE_ATTACK,$C$9),0)+IF(Build!$E$21="TRIPLE_ATTACK",Build!$F$21,0)+IF(Build!$G$21="TRIPLE_ATTACK",Build!$H$21,0))</f>
        <v/>
      </c>
      <c r="R9">
        <f>IF(Build!$B$21="(keep equipped)",EquipBase!$P$9,IF(OR(Build!$B$21="(none)",Build!$B$21=""),0,IFERROR(INDEX(GearDB_QUAD_ATTACK,$B$9),0)))+IF(Build!$B$21="(keep equipped)",0,IF($C$9&gt;0,Build!$D$21*INDEX(AugDB_QUAD_ATTACK,$C$9),0)+IF(Build!$E$21="QUAD_ATTACK",Build!$F$21,0)+IF(Build!$G$21="QUAD_ATTACK",Build!$H$21,0))</f>
        <v/>
      </c>
      <c r="S9">
        <f>IF(Build!$B$21="(keep equipped)",EquipBase!$Q$9,IF(OR(Build!$B$21="(none)",Build!$B$21=""),0,IFERROR(INDEX(GearDB_HASTE_GEAR,$B$9),0)))+IF(Build!$B$21="(keep equipped)",0,IF($C$9&gt;0,Build!$D$21*INDEX(AugDB_HASTE_GEAR,$C$9),0)+IF(Build!$E$21="HASTE_GEAR",Build!$F$21,0)+IF(Build!$G$21="HASTE_GEAR",Build!$H$21,0))</f>
        <v/>
      </c>
      <c r="T9">
        <f>IF(Build!$B$21="(keep equipped)",EquipBase!$R$9,IF(OR(Build!$B$21="(none)",Build!$B$21=""),0,IFERROR(INDEX(GearDB_HASTE_MAGIC,$B$9),0)))+IF(Build!$B$21="(keep equipped)",0,IF($C$9&gt;0,Build!$D$21*INDEX(AugDB_HASTE_MAGIC,$C$9),0)+IF(Build!$E$21="HASTE_MAGIC",Build!$F$21,0)+IF(Build!$G$21="HASTE_MAGIC",Build!$H$21,0))</f>
        <v/>
      </c>
      <c r="U9">
        <f>IF(Build!$B$21="(keep equipped)",EquipBase!$S$9,IF(OR(Build!$B$21="(none)",Build!$B$21=""),0,IFERROR(INDEX(GearDB_HASTE_ABILITY,$B$9),0)))+IF(Build!$B$21="(keep equipped)",0,IF($C$9&gt;0,Build!$D$21*INDEX(AugDB_HASTE_ABILITY,$C$9),0)+IF(Build!$E$21="HASTE_ABILITY",Build!$F$21,0)+IF(Build!$G$21="HASTE_ABILITY",Build!$H$21,0))</f>
        <v/>
      </c>
      <c r="V9">
        <f>IF(Build!$B$21="(keep equipped)",EquipBase!$T$9,IF(OR(Build!$B$21="(none)",Build!$B$21=""),0,IFERROR(INDEX(GearDB_DUAL_WIELD,$B$9),0)))+IF(Build!$B$21="(keep equipped)",0,IF($C$9&gt;0,Build!$D$21*INDEX(AugDB_DUAL_WIELD,$C$9),0)+IF(Build!$E$21="DUAL_WIELD",Build!$F$21,0)+IF(Build!$G$21="DUAL_WIELD",Build!$H$21,0))</f>
        <v/>
      </c>
      <c r="W9">
        <f>IF(Build!$B$21="(keep equipped)",EquipBase!$U$9,IF(OR(Build!$B$21="(none)",Build!$B$21=""),0,IFERROR(INDEX(GearDB_STORETP,$B$9),0)))+IF(Build!$B$21="(keep equipped)",0,IF($C$9&gt;0,Build!$D$21*INDEX(AugDB_STORETP,$C$9),0)+IF(Build!$E$21="STORETP",Build!$F$21,0)+IF(Build!$G$21="STORETP",Build!$H$21,0))</f>
        <v/>
      </c>
      <c r="X9">
        <f>IF(Build!$B$21="(keep equipped)",EquipBase!$V$9,IF(OR(Build!$B$21="(none)",Build!$B$21=""),0,IFERROR(INDEX(GearDB_TP_BONUS,$B$9),0)))+IF(Build!$B$21="(keep equipped)",0,IF($C$9&gt;0,Build!$D$21*INDEX(AugDB_TP_BONUS,$C$9),0)+IF(Build!$E$21="TP_BONUS",Build!$F$21,0)+IF(Build!$G$21="TP_BONUS",Build!$H$21,0))</f>
        <v/>
      </c>
      <c r="Y9">
        <f>IF(Build!$B$21="(keep equipped)",EquipBase!$W$9,IF(OR(Build!$B$21="(none)",Build!$B$21=""),0,IFERROR(INDEX(GearDB_ALL_WSDMG_ALL_HITS,$B$9),0)))+IF(Build!$B$21="(keep equipped)",0,IF($C$9&gt;0,Build!$D$21*INDEX(AugDB_ALL_WSDMG_ALL_HITS,$C$9),0)+IF(Build!$E$21="ALL_WSDMG_ALL_HITS",Build!$F$21,0)+IF(Build!$G$21="ALL_WSDMG_ALL_HITS",Build!$H$21,0))</f>
        <v/>
      </c>
      <c r="Z9">
        <f>IF(Build!$B$21="(keep equipped)",EquipBase!$X$9,IF(OR(Build!$B$21="(none)",Build!$B$21=""),0,IFERROR(INDEX(GearDB_ALL_WSDMG_FIRST_HIT,$B$9),0)))+IF(Build!$B$21="(keep equipped)",0,IF($C$9&gt;0,Build!$D$21*INDEX(AugDB_ALL_WSDMG_FIRST_HIT,$C$9),0)+IF(Build!$E$21="ALL_WSDMG_FIRST_HIT",Build!$F$21,0)+IF(Build!$G$21="ALL_WSDMG_FIRST_HIT",Build!$H$21,0))</f>
        <v/>
      </c>
      <c r="AA9">
        <f>IF(Build!$B$21="(keep equipped)",EquipBase!$Y$9,IF(OR(Build!$B$21="(none)",Build!$B$21=""),0,IFERROR(INDEX(GearDB_ANY_FTP_BONUS,$B$9),0)))+IF(Build!$B$21="(keep equipped)",0,IF($C$9&gt;0,Build!$D$21*INDEX(AugDB_ANY_FTP_BONUS,$C$9),0)+IF(Build!$E$21="ANY_FTP_BONUS",Build!$F$21,0)+IF(Build!$G$21="ANY_FTP_BONUS",Build!$H$21,0))</f>
        <v/>
      </c>
      <c r="AB9">
        <f>IF(Build!$B$21="(keep equipped)",EquipBase!$Z$9,IF(OR(Build!$B$21="(none)",Build!$B$21=""),0,IFERROR(INDEX(GearDB_WSACC,$B$9),0)))+IF(Build!$B$21="(keep equipped)",0,IF($C$9&gt;0,Build!$D$21*INDEX(AugDB_WSACC,$C$9),0)+IF(Build!$E$21="WSACC",Build!$F$21,0)+IF(Build!$G$21="WSACC",Build!$H$21,0))</f>
        <v/>
      </c>
      <c r="AC9">
        <f>IF(Build!$B$21="(keep equipped)",EquipBase!$AA$9,IF(OR(Build!$B$21="(none)",Build!$B$21=""),0,IFERROR(INDEX(GearDB_WSDMG_225,$B$9),0)))+IF(Build!$B$21="(keep equipped)",0,IF($C$9&gt;0,Build!$D$21*INDEX(AugDB_WSDMG_225,$C$9),0)+IF(Build!$E$21="WSDMG_225",Build!$F$21,0)+IF(Build!$G$21="WSDMG_225",Build!$H$21,0))</f>
        <v/>
      </c>
    </row>
    <row r="10">
      <c r="A10" t="inlineStr">
        <is>
          <t>waist</t>
        </is>
      </c>
      <c r="B10">
        <f>IFERROR(MATCH(Build!$B$22,GearDB_names,0),0)</f>
        <v/>
      </c>
      <c r="C10">
        <f>IFERROR(MATCH(Build!$C$22,AugDB_labels,0),0)</f>
        <v/>
      </c>
      <c r="D10">
        <f>IF(Build!$B$22="(keep equipped)",EquipBase!$B$10,IF(OR(Build!$B$22="(none)",Build!$B$22=""),0,IFERROR(INDEX(GearDB_STR,$B$10),0)))+IF(Build!$B$22="(keep equipped)",0,IF($C$10&gt;0,Build!$D$22*INDEX(AugDB_STR,$C$10),0)+IF(Build!$E$22="STR",Build!$F$22,0)+IF(Build!$G$22="STR",Build!$H$22,0))</f>
        <v/>
      </c>
      <c r="E10">
        <f>IF(Build!$B$22="(keep equipped)",EquipBase!$C$10,IF(OR(Build!$B$22="(none)",Build!$B$22=""),0,IFERROR(INDEX(GearDB_DEX,$B$10),0)))+IF(Build!$B$22="(keep equipped)",0,IF($C$10&gt;0,Build!$D$22*INDEX(AugDB_DEX,$C$10),0)+IF(Build!$E$22="DEX",Build!$F$22,0)+IF(Build!$G$22="DEX",Build!$H$22,0))</f>
        <v/>
      </c>
      <c r="F10">
        <f>IF(Build!$B$22="(keep equipped)",EquipBase!$D$10,IF(OR(Build!$B$22="(none)",Build!$B$22=""),0,IFERROR(INDEX(GearDB_VIT,$B$10),0)))+IF(Build!$B$22="(keep equipped)",0,IF($C$10&gt;0,Build!$D$22*INDEX(AugDB_VIT,$C$10),0)+IF(Build!$E$22="VIT",Build!$F$22,0)+IF(Build!$G$22="VIT",Build!$H$22,0))</f>
        <v/>
      </c>
      <c r="G10">
        <f>IF(Build!$B$22="(keep equipped)",EquipBase!$E$10,IF(OR(Build!$B$22="(none)",Build!$B$22=""),0,IFERROR(INDEX(GearDB_AGI,$B$10),0)))+IF(Build!$B$22="(keep equipped)",0,IF($C$10&gt;0,Build!$D$22*INDEX(AugDB_AGI,$C$10),0)+IF(Build!$E$22="AGI",Build!$F$22,0)+IF(Build!$G$22="AGI",Build!$H$22,0))</f>
        <v/>
      </c>
      <c r="H10">
        <f>IF(Build!$B$22="(keep equipped)",EquipBase!$F$10,IF(OR(Build!$B$22="(none)",Build!$B$22=""),0,IFERROR(INDEX(GearDB_INT,$B$10),0)))+IF(Build!$B$22="(keep equipped)",0,IF($C$10&gt;0,Build!$D$22*INDEX(AugDB_INT,$C$10),0)+IF(Build!$E$22="INT",Build!$F$22,0)+IF(Build!$G$22="INT",Build!$H$22,0))</f>
        <v/>
      </c>
      <c r="I10">
        <f>IF(Build!$B$22="(keep equipped)",EquipBase!$G$10,IF(OR(Build!$B$22="(none)",Build!$B$22=""),0,IFERROR(INDEX(GearDB_MND,$B$10),0)))+IF(Build!$B$22="(keep equipped)",0,IF($C$10&gt;0,Build!$D$22*INDEX(AugDB_MND,$C$10),0)+IF(Build!$E$22="MND",Build!$F$22,0)+IF(Build!$G$22="MND",Build!$H$22,0))</f>
        <v/>
      </c>
      <c r="J10">
        <f>IF(Build!$B$22="(keep equipped)",EquipBase!$H$10,IF(OR(Build!$B$22="(none)",Build!$B$22=""),0,IFERROR(INDEX(GearDB_CHR,$B$10),0)))+IF(Build!$B$22="(keep equipped)",0,IF($C$10&gt;0,Build!$D$22*INDEX(AugDB_CHR,$C$10),0)+IF(Build!$E$22="CHR",Build!$F$22,0)+IF(Build!$G$22="CHR",Build!$H$22,0))</f>
        <v/>
      </c>
      <c r="K10">
        <f>IF(Build!$B$22="(keep equipped)",EquipBase!$I$10,IF(OR(Build!$B$22="(none)",Build!$B$22=""),0,IFERROR(INDEX(GearDB_ATT,$B$10),0)))+IF(Build!$B$22="(keep equipped)",0,IF($C$10&gt;0,Build!$D$22*INDEX(AugDB_ATT,$C$10),0)+IF(Build!$E$22="ATT",Build!$F$22,0)+IF(Build!$G$22="ATT",Build!$H$22,0))</f>
        <v/>
      </c>
      <c r="L10">
        <f>IF(Build!$B$22="(keep equipped)",EquipBase!$J$10,IF(OR(Build!$B$22="(none)",Build!$B$22=""),0,IFERROR(INDEX(GearDB_ATTP,$B$10),0)))+IF(Build!$B$22="(keep equipped)",0,IF($C$10&gt;0,Build!$D$22*INDEX(AugDB_ATTP,$C$10),0)+IF(Build!$E$22="ATTP",Build!$F$22,0)+IF(Build!$G$22="ATTP",Build!$H$22,0))</f>
        <v/>
      </c>
      <c r="M10">
        <f>IF(Build!$B$22="(keep equipped)",EquipBase!$K$10,IF(OR(Build!$B$22="(none)",Build!$B$22=""),0,IFERROR(INDEX(GearDB_ACC,$B$10),0)))+IF(Build!$B$22="(keep equipped)",0,IF($C$10&gt;0,Build!$D$22*INDEX(AugDB_ACC,$C$10),0)+IF(Build!$E$22="ACC",Build!$F$22,0)+IF(Build!$G$22="ACC",Build!$H$22,0))</f>
        <v/>
      </c>
      <c r="N10">
        <f>IF(Build!$B$22="(keep equipped)",EquipBase!$L$10,IF(OR(Build!$B$22="(none)",Build!$B$22=""),0,IFERROR(INDEX(GearDB_CRITHITRATE,$B$10),0)))+IF(Build!$B$22="(keep equipped)",0,IF($C$10&gt;0,Build!$D$22*INDEX(AugDB_CRITHITRATE,$C$10),0)+IF(Build!$E$22="CRITHITRATE",Build!$F$22,0)+IF(Build!$G$22="CRITHITRATE",Build!$H$22,0))</f>
        <v/>
      </c>
      <c r="O10">
        <f>IF(Build!$B$22="(keep equipped)",EquipBase!$M$10,IF(OR(Build!$B$22="(none)",Build!$B$22=""),0,IFERROR(INDEX(GearDB_CRIT_DMG_INCREASE,$B$10),0)))+IF(Build!$B$22="(keep equipped)",0,IF($C$10&gt;0,Build!$D$22*INDEX(AugDB_CRIT_DMG_INCREASE,$C$10),0)+IF(Build!$E$22="CRIT_DMG_INCREASE",Build!$F$22,0)+IF(Build!$G$22="CRIT_DMG_INCREASE",Build!$H$22,0))</f>
        <v/>
      </c>
      <c r="P10">
        <f>IF(Build!$B$22="(keep equipped)",EquipBase!$N$10,IF(OR(Build!$B$22="(none)",Build!$B$22=""),0,IFERROR(INDEX(GearDB_DOUBLE_ATTACK,$B$10),0)))+IF(Build!$B$22="(keep equipped)",0,IF($C$10&gt;0,Build!$D$22*INDEX(AugDB_DOUBLE_ATTACK,$C$10),0)+IF(Build!$E$22="DOUBLE_ATTACK",Build!$F$22,0)+IF(Build!$G$22="DOUBLE_ATTACK",Build!$H$22,0))</f>
        <v/>
      </c>
      <c r="Q10">
        <f>IF(Build!$B$22="(keep equipped)",EquipBase!$O$10,IF(OR(Build!$B$22="(none)",Build!$B$22=""),0,IFERROR(INDEX(GearDB_TRIPLE_ATTACK,$B$10),0)))+IF(Build!$B$22="(keep equipped)",0,IF($C$10&gt;0,Build!$D$22*INDEX(AugDB_TRIPLE_ATTACK,$C$10),0)+IF(Build!$E$22="TRIPLE_ATTACK",Build!$F$22,0)+IF(Build!$G$22="TRIPLE_ATTACK",Build!$H$22,0))</f>
        <v/>
      </c>
      <c r="R10">
        <f>IF(Build!$B$22="(keep equipped)",EquipBase!$P$10,IF(OR(Build!$B$22="(none)",Build!$B$22=""),0,IFERROR(INDEX(GearDB_QUAD_ATTACK,$B$10),0)))+IF(Build!$B$22="(keep equipped)",0,IF($C$10&gt;0,Build!$D$22*INDEX(AugDB_QUAD_ATTACK,$C$10),0)+IF(Build!$E$22="QUAD_ATTACK",Build!$F$22,0)+IF(Build!$G$22="QUAD_ATTACK",Build!$H$22,0))</f>
        <v/>
      </c>
      <c r="S10">
        <f>IF(Build!$B$22="(keep equipped)",EquipBase!$Q$10,IF(OR(Build!$B$22="(none)",Build!$B$22=""),0,IFERROR(INDEX(GearDB_HASTE_GEAR,$B$10),0)))+IF(Build!$B$22="(keep equipped)",0,IF($C$10&gt;0,Build!$D$22*INDEX(AugDB_HASTE_GEAR,$C$10),0)+IF(Build!$E$22="HASTE_GEAR",Build!$F$22,0)+IF(Build!$G$22="HASTE_GEAR",Build!$H$22,0))</f>
        <v/>
      </c>
      <c r="T10">
        <f>IF(Build!$B$22="(keep equipped)",EquipBase!$R$10,IF(OR(Build!$B$22="(none)",Build!$B$22=""),0,IFERROR(INDEX(GearDB_HASTE_MAGIC,$B$10),0)))+IF(Build!$B$22="(keep equipped)",0,IF($C$10&gt;0,Build!$D$22*INDEX(AugDB_HASTE_MAGIC,$C$10),0)+IF(Build!$E$22="HASTE_MAGIC",Build!$F$22,0)+IF(Build!$G$22="HASTE_MAGIC",Build!$H$22,0))</f>
        <v/>
      </c>
      <c r="U10">
        <f>IF(Build!$B$22="(keep equipped)",EquipBase!$S$10,IF(OR(Build!$B$22="(none)",Build!$B$22=""),0,IFERROR(INDEX(GearDB_HASTE_ABILITY,$B$10),0)))+IF(Build!$B$22="(keep equipped)",0,IF($C$10&gt;0,Build!$D$22*INDEX(AugDB_HASTE_ABILITY,$C$10),0)+IF(Build!$E$22="HASTE_ABILITY",Build!$F$22,0)+IF(Build!$G$22="HASTE_ABILITY",Build!$H$22,0))</f>
        <v/>
      </c>
      <c r="V10">
        <f>IF(Build!$B$22="(keep equipped)",EquipBase!$T$10,IF(OR(Build!$B$22="(none)",Build!$B$22=""),0,IFERROR(INDEX(GearDB_DUAL_WIELD,$B$10),0)))+IF(Build!$B$22="(keep equipped)",0,IF($C$10&gt;0,Build!$D$22*INDEX(AugDB_DUAL_WIELD,$C$10),0)+IF(Build!$E$22="DUAL_WIELD",Build!$F$22,0)+IF(Build!$G$22="DUAL_WIELD",Build!$H$22,0))</f>
        <v/>
      </c>
      <c r="W10">
        <f>IF(Build!$B$22="(keep equipped)",EquipBase!$U$10,IF(OR(Build!$B$22="(none)",Build!$B$22=""),0,IFERROR(INDEX(GearDB_STORETP,$B$10),0)))+IF(Build!$B$22="(keep equipped)",0,IF($C$10&gt;0,Build!$D$22*INDEX(AugDB_STORETP,$C$10),0)+IF(Build!$E$22="STORETP",Build!$F$22,0)+IF(Build!$G$22="STORETP",Build!$H$22,0))</f>
        <v/>
      </c>
      <c r="X10">
        <f>IF(Build!$B$22="(keep equipped)",EquipBase!$V$10,IF(OR(Build!$B$22="(none)",Build!$B$22=""),0,IFERROR(INDEX(GearDB_TP_BONUS,$B$10),0)))+IF(Build!$B$22="(keep equipped)",0,IF($C$10&gt;0,Build!$D$22*INDEX(AugDB_TP_BONUS,$C$10),0)+IF(Build!$E$22="TP_BONUS",Build!$F$22,0)+IF(Build!$G$22="TP_BONUS",Build!$H$22,0))</f>
        <v/>
      </c>
      <c r="Y10">
        <f>IF(Build!$B$22="(keep equipped)",EquipBase!$W$10,IF(OR(Build!$B$22="(none)",Build!$B$22=""),0,IFERROR(INDEX(GearDB_ALL_WSDMG_ALL_HITS,$B$10),0)))+IF(Build!$B$22="(keep equipped)",0,IF($C$10&gt;0,Build!$D$22*INDEX(AugDB_ALL_WSDMG_ALL_HITS,$C$10),0)+IF(Build!$E$22="ALL_WSDMG_ALL_HITS",Build!$F$22,0)+IF(Build!$G$22="ALL_WSDMG_ALL_HITS",Build!$H$22,0))</f>
        <v/>
      </c>
      <c r="Z10">
        <f>IF(Build!$B$22="(keep equipped)",EquipBase!$X$10,IF(OR(Build!$B$22="(none)",Build!$B$22=""),0,IFERROR(INDEX(GearDB_ALL_WSDMG_FIRST_HIT,$B$10),0)))+IF(Build!$B$22="(keep equipped)",0,IF($C$10&gt;0,Build!$D$22*INDEX(AugDB_ALL_WSDMG_FIRST_HIT,$C$10),0)+IF(Build!$E$22="ALL_WSDMG_FIRST_HIT",Build!$F$22,0)+IF(Build!$G$22="ALL_WSDMG_FIRST_HIT",Build!$H$22,0))</f>
        <v/>
      </c>
      <c r="AA10">
        <f>IF(Build!$B$22="(keep equipped)",EquipBase!$Y$10,IF(OR(Build!$B$22="(none)",Build!$B$22=""),0,IFERROR(INDEX(GearDB_ANY_FTP_BONUS,$B$10),0)))+IF(Build!$B$22="(keep equipped)",0,IF($C$10&gt;0,Build!$D$22*INDEX(AugDB_ANY_FTP_BONUS,$C$10),0)+IF(Build!$E$22="ANY_FTP_BONUS",Build!$F$22,0)+IF(Build!$G$22="ANY_FTP_BONUS",Build!$H$22,0))</f>
        <v/>
      </c>
      <c r="AB10">
        <f>IF(Build!$B$22="(keep equipped)",EquipBase!$Z$10,IF(OR(Build!$B$22="(none)",Build!$B$22=""),0,IFERROR(INDEX(GearDB_WSACC,$B$10),0)))+IF(Build!$B$22="(keep equipped)",0,IF($C$10&gt;0,Build!$D$22*INDEX(AugDB_WSACC,$C$10),0)+IF(Build!$E$22="WSACC",Build!$F$22,0)+IF(Build!$G$22="WSACC",Build!$H$22,0))</f>
        <v/>
      </c>
      <c r="AC10">
        <f>IF(Build!$B$22="(keep equipped)",EquipBase!$AA$10,IF(OR(Build!$B$22="(none)",Build!$B$22=""),0,IFERROR(INDEX(GearDB_WSDMG_225,$B$10),0)))+IF(Build!$B$22="(keep equipped)",0,IF($C$10&gt;0,Build!$D$22*INDEX(AugDB_WSDMG_225,$C$10),0)+IF(Build!$E$22="WSDMG_225",Build!$F$22,0)+IF(Build!$G$22="WSDMG_225",Build!$H$22,0))</f>
        <v/>
      </c>
    </row>
    <row r="11">
      <c r="A11" t="inlineStr">
        <is>
          <t>ear1</t>
        </is>
      </c>
      <c r="B11">
        <f>IFERROR(MATCH(Build!$B$23,GearDB_names,0),0)</f>
        <v/>
      </c>
      <c r="C11">
        <f>IFERROR(MATCH(Build!$C$23,AugDB_labels,0),0)</f>
        <v/>
      </c>
      <c r="D11">
        <f>IF(Build!$B$23="(keep equipped)",EquipBase!$B$11,IF(OR(Build!$B$23="(none)",Build!$B$23=""),0,IFERROR(INDEX(GearDB_STR,$B$11),0)))+IF(Build!$B$23="(keep equipped)",0,IF($C$11&gt;0,Build!$D$23*INDEX(AugDB_STR,$C$11),0)+IF(Build!$E$23="STR",Build!$F$23,0)+IF(Build!$G$23="STR",Build!$H$23,0))</f>
        <v/>
      </c>
      <c r="E11">
        <f>IF(Build!$B$23="(keep equipped)",EquipBase!$C$11,IF(OR(Build!$B$23="(none)",Build!$B$23=""),0,IFERROR(INDEX(GearDB_DEX,$B$11),0)))+IF(Build!$B$23="(keep equipped)",0,IF($C$11&gt;0,Build!$D$23*INDEX(AugDB_DEX,$C$11),0)+IF(Build!$E$23="DEX",Build!$F$23,0)+IF(Build!$G$23="DEX",Build!$H$23,0))</f>
        <v/>
      </c>
      <c r="F11">
        <f>IF(Build!$B$23="(keep equipped)",EquipBase!$D$11,IF(OR(Build!$B$23="(none)",Build!$B$23=""),0,IFERROR(INDEX(GearDB_VIT,$B$11),0)))+IF(Build!$B$23="(keep equipped)",0,IF($C$11&gt;0,Build!$D$23*INDEX(AugDB_VIT,$C$11),0)+IF(Build!$E$23="VIT",Build!$F$23,0)+IF(Build!$G$23="VIT",Build!$H$23,0))</f>
        <v/>
      </c>
      <c r="G11">
        <f>IF(Build!$B$23="(keep equipped)",EquipBase!$E$11,IF(OR(Build!$B$23="(none)",Build!$B$23=""),0,IFERROR(INDEX(GearDB_AGI,$B$11),0)))+IF(Build!$B$23="(keep equipped)",0,IF($C$11&gt;0,Build!$D$23*INDEX(AugDB_AGI,$C$11),0)+IF(Build!$E$23="AGI",Build!$F$23,0)+IF(Build!$G$23="AGI",Build!$H$23,0))</f>
        <v/>
      </c>
      <c r="H11">
        <f>IF(Build!$B$23="(keep equipped)",EquipBase!$F$11,IF(OR(Build!$B$23="(none)",Build!$B$23=""),0,IFERROR(INDEX(GearDB_INT,$B$11),0)))+IF(Build!$B$23="(keep equipped)",0,IF($C$11&gt;0,Build!$D$23*INDEX(AugDB_INT,$C$11),0)+IF(Build!$E$23="INT",Build!$F$23,0)+IF(Build!$G$23="INT",Build!$H$23,0))</f>
        <v/>
      </c>
      <c r="I11">
        <f>IF(Build!$B$23="(keep equipped)",EquipBase!$G$11,IF(OR(Build!$B$23="(none)",Build!$B$23=""),0,IFERROR(INDEX(GearDB_MND,$B$11),0)))+IF(Build!$B$23="(keep equipped)",0,IF($C$11&gt;0,Build!$D$23*INDEX(AugDB_MND,$C$11),0)+IF(Build!$E$23="MND",Build!$F$23,0)+IF(Build!$G$23="MND",Build!$H$23,0))</f>
        <v/>
      </c>
      <c r="J11">
        <f>IF(Build!$B$23="(keep equipped)",EquipBase!$H$11,IF(OR(Build!$B$23="(none)",Build!$B$23=""),0,IFERROR(INDEX(GearDB_CHR,$B$11),0)))+IF(Build!$B$23="(keep equipped)",0,IF($C$11&gt;0,Build!$D$23*INDEX(AugDB_CHR,$C$11),0)+IF(Build!$E$23="CHR",Build!$F$23,0)+IF(Build!$G$23="CHR",Build!$H$23,0))</f>
        <v/>
      </c>
      <c r="K11">
        <f>IF(Build!$B$23="(keep equipped)",EquipBase!$I$11,IF(OR(Build!$B$23="(none)",Build!$B$23=""),0,IFERROR(INDEX(GearDB_ATT,$B$11),0)))+IF(Build!$B$23="(keep equipped)",0,IF($C$11&gt;0,Build!$D$23*INDEX(AugDB_ATT,$C$11),0)+IF(Build!$E$23="ATT",Build!$F$23,0)+IF(Build!$G$23="ATT",Build!$H$23,0))</f>
        <v/>
      </c>
      <c r="L11">
        <f>IF(Build!$B$23="(keep equipped)",EquipBase!$J$11,IF(OR(Build!$B$23="(none)",Build!$B$23=""),0,IFERROR(INDEX(GearDB_ATTP,$B$11),0)))+IF(Build!$B$23="(keep equipped)",0,IF($C$11&gt;0,Build!$D$23*INDEX(AugDB_ATTP,$C$11),0)+IF(Build!$E$23="ATTP",Build!$F$23,0)+IF(Build!$G$23="ATTP",Build!$H$23,0))</f>
        <v/>
      </c>
      <c r="M11">
        <f>IF(Build!$B$23="(keep equipped)",EquipBase!$K$11,IF(OR(Build!$B$23="(none)",Build!$B$23=""),0,IFERROR(INDEX(GearDB_ACC,$B$11),0)))+IF(Build!$B$23="(keep equipped)",0,IF($C$11&gt;0,Build!$D$23*INDEX(AugDB_ACC,$C$11),0)+IF(Build!$E$23="ACC",Build!$F$23,0)+IF(Build!$G$23="ACC",Build!$H$23,0))</f>
        <v/>
      </c>
      <c r="N11">
        <f>IF(Build!$B$23="(keep equipped)",EquipBase!$L$11,IF(OR(Build!$B$23="(none)",Build!$B$23=""),0,IFERROR(INDEX(GearDB_CRITHITRATE,$B$11),0)))+IF(Build!$B$23="(keep equipped)",0,IF($C$11&gt;0,Build!$D$23*INDEX(AugDB_CRITHITRATE,$C$11),0)+IF(Build!$E$23="CRITHITRATE",Build!$F$23,0)+IF(Build!$G$23="CRITHITRATE",Build!$H$23,0))</f>
        <v/>
      </c>
      <c r="O11">
        <f>IF(Build!$B$23="(keep equipped)",EquipBase!$M$11,IF(OR(Build!$B$23="(none)",Build!$B$23=""),0,IFERROR(INDEX(GearDB_CRIT_DMG_INCREASE,$B$11),0)))+IF(Build!$B$23="(keep equipped)",0,IF($C$11&gt;0,Build!$D$23*INDEX(AugDB_CRIT_DMG_INCREASE,$C$11),0)+IF(Build!$E$23="CRIT_DMG_INCREASE",Build!$F$23,0)+IF(Build!$G$23="CRIT_DMG_INCREASE",Build!$H$23,0))</f>
        <v/>
      </c>
      <c r="P11">
        <f>IF(Build!$B$23="(keep equipped)",EquipBase!$N$11,IF(OR(Build!$B$23="(none)",Build!$B$23=""),0,IFERROR(INDEX(GearDB_DOUBLE_ATTACK,$B$11),0)))+IF(Build!$B$23="(keep equipped)",0,IF($C$11&gt;0,Build!$D$23*INDEX(AugDB_DOUBLE_ATTACK,$C$11),0)+IF(Build!$E$23="DOUBLE_ATTACK",Build!$F$23,0)+IF(Build!$G$23="DOUBLE_ATTACK",Build!$H$23,0))</f>
        <v/>
      </c>
      <c r="Q11">
        <f>IF(Build!$B$23="(keep equipped)",EquipBase!$O$11,IF(OR(Build!$B$23="(none)",Build!$B$23=""),0,IFERROR(INDEX(GearDB_TRIPLE_ATTACK,$B$11),0)))+IF(Build!$B$23="(keep equipped)",0,IF($C$11&gt;0,Build!$D$23*INDEX(AugDB_TRIPLE_ATTACK,$C$11),0)+IF(Build!$E$23="TRIPLE_ATTACK",Build!$F$23,0)+IF(Build!$G$23="TRIPLE_ATTACK",Build!$H$23,0))</f>
        <v/>
      </c>
      <c r="R11">
        <f>IF(Build!$B$23="(keep equipped)",EquipBase!$P$11,IF(OR(Build!$B$23="(none)",Build!$B$23=""),0,IFERROR(INDEX(GearDB_QUAD_ATTACK,$B$11),0)))+IF(Build!$B$23="(keep equipped)",0,IF($C$11&gt;0,Build!$D$23*INDEX(AugDB_QUAD_ATTACK,$C$11),0)+IF(Build!$E$23="QUAD_ATTACK",Build!$F$23,0)+IF(Build!$G$23="QUAD_ATTACK",Build!$H$23,0))</f>
        <v/>
      </c>
      <c r="S11">
        <f>IF(Build!$B$23="(keep equipped)",EquipBase!$Q$11,IF(OR(Build!$B$23="(none)",Build!$B$23=""),0,IFERROR(INDEX(GearDB_HASTE_GEAR,$B$11),0)))+IF(Build!$B$23="(keep equipped)",0,IF($C$11&gt;0,Build!$D$23*INDEX(AugDB_HASTE_GEAR,$C$11),0)+IF(Build!$E$23="HASTE_GEAR",Build!$F$23,0)+IF(Build!$G$23="HASTE_GEAR",Build!$H$23,0))</f>
        <v/>
      </c>
      <c r="T11">
        <f>IF(Build!$B$23="(keep equipped)",EquipBase!$R$11,IF(OR(Build!$B$23="(none)",Build!$B$23=""),0,IFERROR(INDEX(GearDB_HASTE_MAGIC,$B$11),0)))+IF(Build!$B$23="(keep equipped)",0,IF($C$11&gt;0,Build!$D$23*INDEX(AugDB_HASTE_MAGIC,$C$11),0)+IF(Build!$E$23="HASTE_MAGIC",Build!$F$23,0)+IF(Build!$G$23="HASTE_MAGIC",Build!$H$23,0))</f>
        <v/>
      </c>
      <c r="U11">
        <f>IF(Build!$B$23="(keep equipped)",EquipBase!$S$11,IF(OR(Build!$B$23="(none)",Build!$B$23=""),0,IFERROR(INDEX(GearDB_HASTE_ABILITY,$B$11),0)))+IF(Build!$B$23="(keep equipped)",0,IF($C$11&gt;0,Build!$D$23*INDEX(AugDB_HASTE_ABILITY,$C$11),0)+IF(Build!$E$23="HASTE_ABILITY",Build!$F$23,0)+IF(Build!$G$23="HASTE_ABILITY",Build!$H$23,0))</f>
        <v/>
      </c>
      <c r="V11">
        <f>IF(Build!$B$23="(keep equipped)",EquipBase!$T$11,IF(OR(Build!$B$23="(none)",Build!$B$23=""),0,IFERROR(INDEX(GearDB_DUAL_WIELD,$B$11),0)))+IF(Build!$B$23="(keep equipped)",0,IF($C$11&gt;0,Build!$D$23*INDEX(AugDB_DUAL_WIELD,$C$11),0)+IF(Build!$E$23="DUAL_WIELD",Build!$F$23,0)+IF(Build!$G$23="DUAL_WIELD",Build!$H$23,0))</f>
        <v/>
      </c>
      <c r="W11">
        <f>IF(Build!$B$23="(keep equipped)",EquipBase!$U$11,IF(OR(Build!$B$23="(none)",Build!$B$23=""),0,IFERROR(INDEX(GearDB_STORETP,$B$11),0)))+IF(Build!$B$23="(keep equipped)",0,IF($C$11&gt;0,Build!$D$23*INDEX(AugDB_STORETP,$C$11),0)+IF(Build!$E$23="STORETP",Build!$F$23,0)+IF(Build!$G$23="STORETP",Build!$H$23,0))</f>
        <v/>
      </c>
      <c r="X11">
        <f>IF(Build!$B$23="(keep equipped)",EquipBase!$V$11,IF(OR(Build!$B$23="(none)",Build!$B$23=""),0,IFERROR(INDEX(GearDB_TP_BONUS,$B$11),0)))+IF(Build!$B$23="(keep equipped)",0,IF($C$11&gt;0,Build!$D$23*INDEX(AugDB_TP_BONUS,$C$11),0)+IF(Build!$E$23="TP_BONUS",Build!$F$23,0)+IF(Build!$G$23="TP_BONUS",Build!$H$23,0))</f>
        <v/>
      </c>
      <c r="Y11">
        <f>IF(Build!$B$23="(keep equipped)",EquipBase!$W$11,IF(OR(Build!$B$23="(none)",Build!$B$23=""),0,IFERROR(INDEX(GearDB_ALL_WSDMG_ALL_HITS,$B$11),0)))+IF(Build!$B$23="(keep equipped)",0,IF($C$11&gt;0,Build!$D$23*INDEX(AugDB_ALL_WSDMG_ALL_HITS,$C$11),0)+IF(Build!$E$23="ALL_WSDMG_ALL_HITS",Build!$F$23,0)+IF(Build!$G$23="ALL_WSDMG_ALL_HITS",Build!$H$23,0))</f>
        <v/>
      </c>
      <c r="Z11">
        <f>IF(Build!$B$23="(keep equipped)",EquipBase!$X$11,IF(OR(Build!$B$23="(none)",Build!$B$23=""),0,IFERROR(INDEX(GearDB_ALL_WSDMG_FIRST_HIT,$B$11),0)))+IF(Build!$B$23="(keep equipped)",0,IF($C$11&gt;0,Build!$D$23*INDEX(AugDB_ALL_WSDMG_FIRST_HIT,$C$11),0)+IF(Build!$E$23="ALL_WSDMG_FIRST_HIT",Build!$F$23,0)+IF(Build!$G$23="ALL_WSDMG_FIRST_HIT",Build!$H$23,0))</f>
        <v/>
      </c>
      <c r="AA11">
        <f>IF(Build!$B$23="(keep equipped)",EquipBase!$Y$11,IF(OR(Build!$B$23="(none)",Build!$B$23=""),0,IFERROR(INDEX(GearDB_ANY_FTP_BONUS,$B$11),0)))+IF(Build!$B$23="(keep equipped)",0,IF($C$11&gt;0,Build!$D$23*INDEX(AugDB_ANY_FTP_BONUS,$C$11),0)+IF(Build!$E$23="ANY_FTP_BONUS",Build!$F$23,0)+IF(Build!$G$23="ANY_FTP_BONUS",Build!$H$23,0))</f>
        <v/>
      </c>
      <c r="AB11">
        <f>IF(Build!$B$23="(keep equipped)",EquipBase!$Z$11,IF(OR(Build!$B$23="(none)",Build!$B$23=""),0,IFERROR(INDEX(GearDB_WSACC,$B$11),0)))+IF(Build!$B$23="(keep equipped)",0,IF($C$11&gt;0,Build!$D$23*INDEX(AugDB_WSACC,$C$11),0)+IF(Build!$E$23="WSACC",Build!$F$23,0)+IF(Build!$G$23="WSACC",Build!$H$23,0))</f>
        <v/>
      </c>
      <c r="AC11">
        <f>IF(Build!$B$23="(keep equipped)",EquipBase!$AA$11,IF(OR(Build!$B$23="(none)",Build!$B$23=""),0,IFERROR(INDEX(GearDB_WSDMG_225,$B$11),0)))+IF(Build!$B$23="(keep equipped)",0,IF($C$11&gt;0,Build!$D$23*INDEX(AugDB_WSDMG_225,$C$11),0)+IF(Build!$E$23="WSDMG_225",Build!$F$23,0)+IF(Build!$G$23="WSDMG_225",Build!$H$23,0))</f>
        <v/>
      </c>
    </row>
    <row r="12">
      <c r="A12" t="inlineStr">
        <is>
          <t>ear2</t>
        </is>
      </c>
      <c r="B12">
        <f>IFERROR(MATCH(Build!$B$24,GearDB_names,0),0)</f>
        <v/>
      </c>
      <c r="C12">
        <f>IFERROR(MATCH(Build!$C$24,AugDB_labels,0),0)</f>
        <v/>
      </c>
      <c r="D12">
        <f>IF(Build!$B$24="(keep equipped)",EquipBase!$B$12,IF(OR(Build!$B$24="(none)",Build!$B$24=""),0,IFERROR(INDEX(GearDB_STR,$B$12),0)))+IF(Build!$B$24="(keep equipped)",0,IF($C$12&gt;0,Build!$D$24*INDEX(AugDB_STR,$C$12),0)+IF(Build!$E$24="STR",Build!$F$24,0)+IF(Build!$G$24="STR",Build!$H$24,0))</f>
        <v/>
      </c>
      <c r="E12">
        <f>IF(Build!$B$24="(keep equipped)",EquipBase!$C$12,IF(OR(Build!$B$24="(none)",Build!$B$24=""),0,IFERROR(INDEX(GearDB_DEX,$B$12),0)))+IF(Build!$B$24="(keep equipped)",0,IF($C$12&gt;0,Build!$D$24*INDEX(AugDB_DEX,$C$12),0)+IF(Build!$E$24="DEX",Build!$F$24,0)+IF(Build!$G$24="DEX",Build!$H$24,0))</f>
        <v/>
      </c>
      <c r="F12">
        <f>IF(Build!$B$24="(keep equipped)",EquipBase!$D$12,IF(OR(Build!$B$24="(none)",Build!$B$24=""),0,IFERROR(INDEX(GearDB_VIT,$B$12),0)))+IF(Build!$B$24="(keep equipped)",0,IF($C$12&gt;0,Build!$D$24*INDEX(AugDB_VIT,$C$12),0)+IF(Build!$E$24="VIT",Build!$F$24,0)+IF(Build!$G$24="VIT",Build!$H$24,0))</f>
        <v/>
      </c>
      <c r="G12">
        <f>IF(Build!$B$24="(keep equipped)",EquipBase!$E$12,IF(OR(Build!$B$24="(none)",Build!$B$24=""),0,IFERROR(INDEX(GearDB_AGI,$B$12),0)))+IF(Build!$B$24="(keep equipped)",0,IF($C$12&gt;0,Build!$D$24*INDEX(AugDB_AGI,$C$12),0)+IF(Build!$E$24="AGI",Build!$F$24,0)+IF(Build!$G$24="AGI",Build!$H$24,0))</f>
        <v/>
      </c>
      <c r="H12">
        <f>IF(Build!$B$24="(keep equipped)",EquipBase!$F$12,IF(OR(Build!$B$24="(none)",Build!$B$24=""),0,IFERROR(INDEX(GearDB_INT,$B$12),0)))+IF(Build!$B$24="(keep equipped)",0,IF($C$12&gt;0,Build!$D$24*INDEX(AugDB_INT,$C$12),0)+IF(Build!$E$24="INT",Build!$F$24,0)+IF(Build!$G$24="INT",Build!$H$24,0))</f>
        <v/>
      </c>
      <c r="I12">
        <f>IF(Build!$B$24="(keep equipped)",EquipBase!$G$12,IF(OR(Build!$B$24="(none)",Build!$B$24=""),0,IFERROR(INDEX(GearDB_MND,$B$12),0)))+IF(Build!$B$24="(keep equipped)",0,IF($C$12&gt;0,Build!$D$24*INDEX(AugDB_MND,$C$12),0)+IF(Build!$E$24="MND",Build!$F$24,0)+IF(Build!$G$24="MND",Build!$H$24,0))</f>
        <v/>
      </c>
      <c r="J12">
        <f>IF(Build!$B$24="(keep equipped)",EquipBase!$H$12,IF(OR(Build!$B$24="(none)",Build!$B$24=""),0,IFERROR(INDEX(GearDB_CHR,$B$12),0)))+IF(Build!$B$24="(keep equipped)",0,IF($C$12&gt;0,Build!$D$24*INDEX(AugDB_CHR,$C$12),0)+IF(Build!$E$24="CHR",Build!$F$24,0)+IF(Build!$G$24="CHR",Build!$H$24,0))</f>
        <v/>
      </c>
      <c r="K12">
        <f>IF(Build!$B$24="(keep equipped)",EquipBase!$I$12,IF(OR(Build!$B$24="(none)",Build!$B$24=""),0,IFERROR(INDEX(GearDB_ATT,$B$12),0)))+IF(Build!$B$24="(keep equipped)",0,IF($C$12&gt;0,Build!$D$24*INDEX(AugDB_ATT,$C$12),0)+IF(Build!$E$24="ATT",Build!$F$24,0)+IF(Build!$G$24="ATT",Build!$H$24,0))</f>
        <v/>
      </c>
      <c r="L12">
        <f>IF(Build!$B$24="(keep equipped)",EquipBase!$J$12,IF(OR(Build!$B$24="(none)",Build!$B$24=""),0,IFERROR(INDEX(GearDB_ATTP,$B$12),0)))+IF(Build!$B$24="(keep equipped)",0,IF($C$12&gt;0,Build!$D$24*INDEX(AugDB_ATTP,$C$12),0)+IF(Build!$E$24="ATTP",Build!$F$24,0)+IF(Build!$G$24="ATTP",Build!$H$24,0))</f>
        <v/>
      </c>
      <c r="M12">
        <f>IF(Build!$B$24="(keep equipped)",EquipBase!$K$12,IF(OR(Build!$B$24="(none)",Build!$B$24=""),0,IFERROR(INDEX(GearDB_ACC,$B$12),0)))+IF(Build!$B$24="(keep equipped)",0,IF($C$12&gt;0,Build!$D$24*INDEX(AugDB_ACC,$C$12),0)+IF(Build!$E$24="ACC",Build!$F$24,0)+IF(Build!$G$24="ACC",Build!$H$24,0))</f>
        <v/>
      </c>
      <c r="N12">
        <f>IF(Build!$B$24="(keep equipped)",EquipBase!$L$12,IF(OR(Build!$B$24="(none)",Build!$B$24=""),0,IFERROR(INDEX(GearDB_CRITHITRATE,$B$12),0)))+IF(Build!$B$24="(keep equipped)",0,IF($C$12&gt;0,Build!$D$24*INDEX(AugDB_CRITHITRATE,$C$12),0)+IF(Build!$E$24="CRITHITRATE",Build!$F$24,0)+IF(Build!$G$24="CRITHITRATE",Build!$H$24,0))</f>
        <v/>
      </c>
      <c r="O12">
        <f>IF(Build!$B$24="(keep equipped)",EquipBase!$M$12,IF(OR(Build!$B$24="(none)",Build!$B$24=""),0,IFERROR(INDEX(GearDB_CRIT_DMG_INCREASE,$B$12),0)))+IF(Build!$B$24="(keep equipped)",0,IF($C$12&gt;0,Build!$D$24*INDEX(AugDB_CRIT_DMG_INCREASE,$C$12),0)+IF(Build!$E$24="CRIT_DMG_INCREASE",Build!$F$24,0)+IF(Build!$G$24="CRIT_DMG_INCREASE",Build!$H$24,0))</f>
        <v/>
      </c>
      <c r="P12">
        <f>IF(Build!$B$24="(keep equipped)",EquipBase!$N$12,IF(OR(Build!$B$24="(none)",Build!$B$24=""),0,IFERROR(INDEX(GearDB_DOUBLE_ATTACK,$B$12),0)))+IF(Build!$B$24="(keep equipped)",0,IF($C$12&gt;0,Build!$D$24*INDEX(AugDB_DOUBLE_ATTACK,$C$12),0)+IF(Build!$E$24="DOUBLE_ATTACK",Build!$F$24,0)+IF(Build!$G$24="DOUBLE_ATTACK",Build!$H$24,0))</f>
        <v/>
      </c>
      <c r="Q12">
        <f>IF(Build!$B$24="(keep equipped)",EquipBase!$O$12,IF(OR(Build!$B$24="(none)",Build!$B$24=""),0,IFERROR(INDEX(GearDB_TRIPLE_ATTACK,$B$12),0)))+IF(Build!$B$24="(keep equipped)",0,IF($C$12&gt;0,Build!$D$24*INDEX(AugDB_TRIPLE_ATTACK,$C$12),0)+IF(Build!$E$24="TRIPLE_ATTACK",Build!$F$24,0)+IF(Build!$G$24="TRIPLE_ATTACK",Build!$H$24,0))</f>
        <v/>
      </c>
      <c r="R12">
        <f>IF(Build!$B$24="(keep equipped)",EquipBase!$P$12,IF(OR(Build!$B$24="(none)",Build!$B$24=""),0,IFERROR(INDEX(GearDB_QUAD_ATTACK,$B$12),0)))+IF(Build!$B$24="(keep equipped)",0,IF($C$12&gt;0,Build!$D$24*INDEX(AugDB_QUAD_ATTACK,$C$12),0)+IF(Build!$E$24="QUAD_ATTACK",Build!$F$24,0)+IF(Build!$G$24="QUAD_ATTACK",Build!$H$24,0))</f>
        <v/>
      </c>
      <c r="S12">
        <f>IF(Build!$B$24="(keep equipped)",EquipBase!$Q$12,IF(OR(Build!$B$24="(none)",Build!$B$24=""),0,IFERROR(INDEX(GearDB_HASTE_GEAR,$B$12),0)))+IF(Build!$B$24="(keep equipped)",0,IF($C$12&gt;0,Build!$D$24*INDEX(AugDB_HASTE_GEAR,$C$12),0)+IF(Build!$E$24="HASTE_GEAR",Build!$F$24,0)+IF(Build!$G$24="HASTE_GEAR",Build!$H$24,0))</f>
        <v/>
      </c>
      <c r="T12">
        <f>IF(Build!$B$24="(keep equipped)",EquipBase!$R$12,IF(OR(Build!$B$24="(none)",Build!$B$24=""),0,IFERROR(INDEX(GearDB_HASTE_MAGIC,$B$12),0)))+IF(Build!$B$24="(keep equipped)",0,IF($C$12&gt;0,Build!$D$24*INDEX(AugDB_HASTE_MAGIC,$C$12),0)+IF(Build!$E$24="HASTE_MAGIC",Build!$F$24,0)+IF(Build!$G$24="HASTE_MAGIC",Build!$H$24,0))</f>
        <v/>
      </c>
      <c r="U12">
        <f>IF(Build!$B$24="(keep equipped)",EquipBase!$S$12,IF(OR(Build!$B$24="(none)",Build!$B$24=""),0,IFERROR(INDEX(GearDB_HASTE_ABILITY,$B$12),0)))+IF(Build!$B$24="(keep equipped)",0,IF($C$12&gt;0,Build!$D$24*INDEX(AugDB_HASTE_ABILITY,$C$12),0)+IF(Build!$E$24="HASTE_ABILITY",Build!$F$24,0)+IF(Build!$G$24="HASTE_ABILITY",Build!$H$24,0))</f>
        <v/>
      </c>
      <c r="V12">
        <f>IF(Build!$B$24="(keep equipped)",EquipBase!$T$12,IF(OR(Build!$B$24="(none)",Build!$B$24=""),0,IFERROR(INDEX(GearDB_DUAL_WIELD,$B$12),0)))+IF(Build!$B$24="(keep equipped)",0,IF($C$12&gt;0,Build!$D$24*INDEX(AugDB_DUAL_WIELD,$C$12),0)+IF(Build!$E$24="DUAL_WIELD",Build!$F$24,0)+IF(Build!$G$24="DUAL_WIELD",Build!$H$24,0))</f>
        <v/>
      </c>
      <c r="W12">
        <f>IF(Build!$B$24="(keep equipped)",EquipBase!$U$12,IF(OR(Build!$B$24="(none)",Build!$B$24=""),0,IFERROR(INDEX(GearDB_STORETP,$B$12),0)))+IF(Build!$B$24="(keep equipped)",0,IF($C$12&gt;0,Build!$D$24*INDEX(AugDB_STORETP,$C$12),0)+IF(Build!$E$24="STORETP",Build!$F$24,0)+IF(Build!$G$24="STORETP",Build!$H$24,0))</f>
        <v/>
      </c>
      <c r="X12">
        <f>IF(Build!$B$24="(keep equipped)",EquipBase!$V$12,IF(OR(Build!$B$24="(none)",Build!$B$24=""),0,IFERROR(INDEX(GearDB_TP_BONUS,$B$12),0)))+IF(Build!$B$24="(keep equipped)",0,IF($C$12&gt;0,Build!$D$24*INDEX(AugDB_TP_BONUS,$C$12),0)+IF(Build!$E$24="TP_BONUS",Build!$F$24,0)+IF(Build!$G$24="TP_BONUS",Build!$H$24,0))</f>
        <v/>
      </c>
      <c r="Y12">
        <f>IF(Build!$B$24="(keep equipped)",EquipBase!$W$12,IF(OR(Build!$B$24="(none)",Build!$B$24=""),0,IFERROR(INDEX(GearDB_ALL_WSDMG_ALL_HITS,$B$12),0)))+IF(Build!$B$24="(keep equipped)",0,IF($C$12&gt;0,Build!$D$24*INDEX(AugDB_ALL_WSDMG_ALL_HITS,$C$12),0)+IF(Build!$E$24="ALL_WSDMG_ALL_HITS",Build!$F$24,0)+IF(Build!$G$24="ALL_WSDMG_ALL_HITS",Build!$H$24,0))</f>
        <v/>
      </c>
      <c r="Z12">
        <f>IF(Build!$B$24="(keep equipped)",EquipBase!$X$12,IF(OR(Build!$B$24="(none)",Build!$B$24=""),0,IFERROR(INDEX(GearDB_ALL_WSDMG_FIRST_HIT,$B$12),0)))+IF(Build!$B$24="(keep equipped)",0,IF($C$12&gt;0,Build!$D$24*INDEX(AugDB_ALL_WSDMG_FIRST_HIT,$C$12),0)+IF(Build!$E$24="ALL_WSDMG_FIRST_HIT",Build!$F$24,0)+IF(Build!$G$24="ALL_WSDMG_FIRST_HIT",Build!$H$24,0))</f>
        <v/>
      </c>
      <c r="AA12">
        <f>IF(Build!$B$24="(keep equipped)",EquipBase!$Y$12,IF(OR(Build!$B$24="(none)",Build!$B$24=""),0,IFERROR(INDEX(GearDB_ANY_FTP_BONUS,$B$12),0)))+IF(Build!$B$24="(keep equipped)",0,IF($C$12&gt;0,Build!$D$24*INDEX(AugDB_ANY_FTP_BONUS,$C$12),0)+IF(Build!$E$24="ANY_FTP_BONUS",Build!$F$24,0)+IF(Build!$G$24="ANY_FTP_BONUS",Build!$H$24,0))</f>
        <v/>
      </c>
      <c r="AB12">
        <f>IF(Build!$B$24="(keep equipped)",EquipBase!$Z$12,IF(OR(Build!$B$24="(none)",Build!$B$24=""),0,IFERROR(INDEX(GearDB_WSACC,$B$12),0)))+IF(Build!$B$24="(keep equipped)",0,IF($C$12&gt;0,Build!$D$24*INDEX(AugDB_WSACC,$C$12),0)+IF(Build!$E$24="WSACC",Build!$F$24,0)+IF(Build!$G$24="WSACC",Build!$H$24,0))</f>
        <v/>
      </c>
      <c r="AC12">
        <f>IF(Build!$B$24="(keep equipped)",EquipBase!$AA$12,IF(OR(Build!$B$24="(none)",Build!$B$24=""),0,IFERROR(INDEX(GearDB_WSDMG_225,$B$12),0)))+IF(Build!$B$24="(keep equipped)",0,IF($C$12&gt;0,Build!$D$24*INDEX(AugDB_WSDMG_225,$C$12),0)+IF(Build!$E$24="WSDMG_225",Build!$F$24,0)+IF(Build!$G$24="WSDMG_225",Build!$H$24,0))</f>
        <v/>
      </c>
    </row>
    <row r="13">
      <c r="A13" t="inlineStr">
        <is>
          <t>ring1</t>
        </is>
      </c>
      <c r="B13">
        <f>IFERROR(MATCH(Build!$B$25,GearDB_names,0),0)</f>
        <v/>
      </c>
      <c r="C13">
        <f>IFERROR(MATCH(Build!$C$25,AugDB_labels,0),0)</f>
        <v/>
      </c>
      <c r="D13">
        <f>IF(Build!$B$25="(keep equipped)",EquipBase!$B$13,IF(OR(Build!$B$25="(none)",Build!$B$25=""),0,IFERROR(INDEX(GearDB_STR,$B$13),0)))+IF(Build!$B$25="(keep equipped)",0,IF($C$13&gt;0,Build!$D$25*INDEX(AugDB_STR,$C$13),0)+IF(Build!$E$25="STR",Build!$F$25,0)+IF(Build!$G$25="STR",Build!$H$25,0))</f>
        <v/>
      </c>
      <c r="E13">
        <f>IF(Build!$B$25="(keep equipped)",EquipBase!$C$13,IF(OR(Build!$B$25="(none)",Build!$B$25=""),0,IFERROR(INDEX(GearDB_DEX,$B$13),0)))+IF(Build!$B$25="(keep equipped)",0,IF($C$13&gt;0,Build!$D$25*INDEX(AugDB_DEX,$C$13),0)+IF(Build!$E$25="DEX",Build!$F$25,0)+IF(Build!$G$25="DEX",Build!$H$25,0))</f>
        <v/>
      </c>
      <c r="F13">
        <f>IF(Build!$B$25="(keep equipped)",EquipBase!$D$13,IF(OR(Build!$B$25="(none)",Build!$B$25=""),0,IFERROR(INDEX(GearDB_VIT,$B$13),0)))+IF(Build!$B$25="(keep equipped)",0,IF($C$13&gt;0,Build!$D$25*INDEX(AugDB_VIT,$C$13),0)+IF(Build!$E$25="VIT",Build!$F$25,0)+IF(Build!$G$25="VIT",Build!$H$25,0))</f>
        <v/>
      </c>
      <c r="G13">
        <f>IF(Build!$B$25="(keep equipped)",EquipBase!$E$13,IF(OR(Build!$B$25="(none)",Build!$B$25=""),0,IFERROR(INDEX(GearDB_AGI,$B$13),0)))+IF(Build!$B$25="(keep equipped)",0,IF($C$13&gt;0,Build!$D$25*INDEX(AugDB_AGI,$C$13),0)+IF(Build!$E$25="AGI",Build!$F$25,0)+IF(Build!$G$25="AGI",Build!$H$25,0))</f>
        <v/>
      </c>
      <c r="H13">
        <f>IF(Build!$B$25="(keep equipped)",EquipBase!$F$13,IF(OR(Build!$B$25="(none)",Build!$B$25=""),0,IFERROR(INDEX(GearDB_INT,$B$13),0)))+IF(Build!$B$25="(keep equipped)",0,IF($C$13&gt;0,Build!$D$25*INDEX(AugDB_INT,$C$13),0)+IF(Build!$E$25="INT",Build!$F$25,0)+IF(Build!$G$25="INT",Build!$H$25,0))</f>
        <v/>
      </c>
      <c r="I13">
        <f>IF(Build!$B$25="(keep equipped)",EquipBase!$G$13,IF(OR(Build!$B$25="(none)",Build!$B$25=""),0,IFERROR(INDEX(GearDB_MND,$B$13),0)))+IF(Build!$B$25="(keep equipped)",0,IF($C$13&gt;0,Build!$D$25*INDEX(AugDB_MND,$C$13),0)+IF(Build!$E$25="MND",Build!$F$25,0)+IF(Build!$G$25="MND",Build!$H$25,0))</f>
        <v/>
      </c>
      <c r="J13">
        <f>IF(Build!$B$25="(keep equipped)",EquipBase!$H$13,IF(OR(Build!$B$25="(none)",Build!$B$25=""),0,IFERROR(INDEX(GearDB_CHR,$B$13),0)))+IF(Build!$B$25="(keep equipped)",0,IF($C$13&gt;0,Build!$D$25*INDEX(AugDB_CHR,$C$13),0)+IF(Build!$E$25="CHR",Build!$F$25,0)+IF(Build!$G$25="CHR",Build!$H$25,0))</f>
        <v/>
      </c>
      <c r="K13">
        <f>IF(Build!$B$25="(keep equipped)",EquipBase!$I$13,IF(OR(Build!$B$25="(none)",Build!$B$25=""),0,IFERROR(INDEX(GearDB_ATT,$B$13),0)))+IF(Build!$B$25="(keep equipped)",0,IF($C$13&gt;0,Build!$D$25*INDEX(AugDB_ATT,$C$13),0)+IF(Build!$E$25="ATT",Build!$F$25,0)+IF(Build!$G$25="ATT",Build!$H$25,0))</f>
        <v/>
      </c>
      <c r="L13">
        <f>IF(Build!$B$25="(keep equipped)",EquipBase!$J$13,IF(OR(Build!$B$25="(none)",Build!$B$25=""),0,IFERROR(INDEX(GearDB_ATTP,$B$13),0)))+IF(Build!$B$25="(keep equipped)",0,IF($C$13&gt;0,Build!$D$25*INDEX(AugDB_ATTP,$C$13),0)+IF(Build!$E$25="ATTP",Build!$F$25,0)+IF(Build!$G$25="ATTP",Build!$H$25,0))</f>
        <v/>
      </c>
      <c r="M13">
        <f>IF(Build!$B$25="(keep equipped)",EquipBase!$K$13,IF(OR(Build!$B$25="(none)",Build!$B$25=""),0,IFERROR(INDEX(GearDB_ACC,$B$13),0)))+IF(Build!$B$25="(keep equipped)",0,IF($C$13&gt;0,Build!$D$25*INDEX(AugDB_ACC,$C$13),0)+IF(Build!$E$25="ACC",Build!$F$25,0)+IF(Build!$G$25="ACC",Build!$H$25,0))</f>
        <v/>
      </c>
      <c r="N13">
        <f>IF(Build!$B$25="(keep equipped)",EquipBase!$L$13,IF(OR(Build!$B$25="(none)",Build!$B$25=""),0,IFERROR(INDEX(GearDB_CRITHITRATE,$B$13),0)))+IF(Build!$B$25="(keep equipped)",0,IF($C$13&gt;0,Build!$D$25*INDEX(AugDB_CRITHITRATE,$C$13),0)+IF(Build!$E$25="CRITHITRATE",Build!$F$25,0)+IF(Build!$G$25="CRITHITRATE",Build!$H$25,0))</f>
        <v/>
      </c>
      <c r="O13">
        <f>IF(Build!$B$25="(keep equipped)",EquipBase!$M$13,IF(OR(Build!$B$25="(none)",Build!$B$25=""),0,IFERROR(INDEX(GearDB_CRIT_DMG_INCREASE,$B$13),0)))+IF(Build!$B$25="(keep equipped)",0,IF($C$13&gt;0,Build!$D$25*INDEX(AugDB_CRIT_DMG_INCREASE,$C$13),0)+IF(Build!$E$25="CRIT_DMG_INCREASE",Build!$F$25,0)+IF(Build!$G$25="CRIT_DMG_INCREASE",Build!$H$25,0))</f>
        <v/>
      </c>
      <c r="P13">
        <f>IF(Build!$B$25="(keep equipped)",EquipBase!$N$13,IF(OR(Build!$B$25="(none)",Build!$B$25=""),0,IFERROR(INDEX(GearDB_DOUBLE_ATTACK,$B$13),0)))+IF(Build!$B$25="(keep equipped)",0,IF($C$13&gt;0,Build!$D$25*INDEX(AugDB_DOUBLE_ATTACK,$C$13),0)+IF(Build!$E$25="DOUBLE_ATTACK",Build!$F$25,0)+IF(Build!$G$25="DOUBLE_ATTACK",Build!$H$25,0))</f>
        <v/>
      </c>
      <c r="Q13">
        <f>IF(Build!$B$25="(keep equipped)",EquipBase!$O$13,IF(OR(Build!$B$25="(none)",Build!$B$25=""),0,IFERROR(INDEX(GearDB_TRIPLE_ATTACK,$B$13),0)))+IF(Build!$B$25="(keep equipped)",0,IF($C$13&gt;0,Build!$D$25*INDEX(AugDB_TRIPLE_ATTACK,$C$13),0)+IF(Build!$E$25="TRIPLE_ATTACK",Build!$F$25,0)+IF(Build!$G$25="TRIPLE_ATTACK",Build!$H$25,0))</f>
        <v/>
      </c>
      <c r="R13">
        <f>IF(Build!$B$25="(keep equipped)",EquipBase!$P$13,IF(OR(Build!$B$25="(none)",Build!$B$25=""),0,IFERROR(INDEX(GearDB_QUAD_ATTACK,$B$13),0)))+IF(Build!$B$25="(keep equipped)",0,IF($C$13&gt;0,Build!$D$25*INDEX(AugDB_QUAD_ATTACK,$C$13),0)+IF(Build!$E$25="QUAD_ATTACK",Build!$F$25,0)+IF(Build!$G$25="QUAD_ATTACK",Build!$H$25,0))</f>
        <v/>
      </c>
      <c r="S13">
        <f>IF(Build!$B$25="(keep equipped)",EquipBase!$Q$13,IF(OR(Build!$B$25="(none)",Build!$B$25=""),0,IFERROR(INDEX(GearDB_HASTE_GEAR,$B$13),0)))+IF(Build!$B$25="(keep equipped)",0,IF($C$13&gt;0,Build!$D$25*INDEX(AugDB_HASTE_GEAR,$C$13),0)+IF(Build!$E$25="HASTE_GEAR",Build!$F$25,0)+IF(Build!$G$25="HASTE_GEAR",Build!$H$25,0))</f>
        <v/>
      </c>
      <c r="T13">
        <f>IF(Build!$B$25="(keep equipped)",EquipBase!$R$13,IF(OR(Build!$B$25="(none)",Build!$B$25=""),0,IFERROR(INDEX(GearDB_HASTE_MAGIC,$B$13),0)))+IF(Build!$B$25="(keep equipped)",0,IF($C$13&gt;0,Build!$D$25*INDEX(AugDB_HASTE_MAGIC,$C$13),0)+IF(Build!$E$25="HASTE_MAGIC",Build!$F$25,0)+IF(Build!$G$25="HASTE_MAGIC",Build!$H$25,0))</f>
        <v/>
      </c>
      <c r="U13">
        <f>IF(Build!$B$25="(keep equipped)",EquipBase!$S$13,IF(OR(Build!$B$25="(none)",Build!$B$25=""),0,IFERROR(INDEX(GearDB_HASTE_ABILITY,$B$13),0)))+IF(Build!$B$25="(keep equipped)",0,IF($C$13&gt;0,Build!$D$25*INDEX(AugDB_HASTE_ABILITY,$C$13),0)+IF(Build!$E$25="HASTE_ABILITY",Build!$F$25,0)+IF(Build!$G$25="HASTE_ABILITY",Build!$H$25,0))</f>
        <v/>
      </c>
      <c r="V13">
        <f>IF(Build!$B$25="(keep equipped)",EquipBase!$T$13,IF(OR(Build!$B$25="(none)",Build!$B$25=""),0,IFERROR(INDEX(GearDB_DUAL_WIELD,$B$13),0)))+IF(Build!$B$25="(keep equipped)",0,IF($C$13&gt;0,Build!$D$25*INDEX(AugDB_DUAL_WIELD,$C$13),0)+IF(Build!$E$25="DUAL_WIELD",Build!$F$25,0)+IF(Build!$G$25="DUAL_WIELD",Build!$H$25,0))</f>
        <v/>
      </c>
      <c r="W13">
        <f>IF(Build!$B$25="(keep equipped)",EquipBase!$U$13,IF(OR(Build!$B$25="(none)",Build!$B$25=""),0,IFERROR(INDEX(GearDB_STORETP,$B$13),0)))+IF(Build!$B$25="(keep equipped)",0,IF($C$13&gt;0,Build!$D$25*INDEX(AugDB_STORETP,$C$13),0)+IF(Build!$E$25="STORETP",Build!$F$25,0)+IF(Build!$G$25="STORETP",Build!$H$25,0))</f>
        <v/>
      </c>
      <c r="X13">
        <f>IF(Build!$B$25="(keep equipped)",EquipBase!$V$13,IF(OR(Build!$B$25="(none)",Build!$B$25=""),0,IFERROR(INDEX(GearDB_TP_BONUS,$B$13),0)))+IF(Build!$B$25="(keep equipped)",0,IF($C$13&gt;0,Build!$D$25*INDEX(AugDB_TP_BONUS,$C$13),0)+IF(Build!$E$25="TP_BONUS",Build!$F$25,0)+IF(Build!$G$25="TP_BONUS",Build!$H$25,0))</f>
        <v/>
      </c>
      <c r="Y13">
        <f>IF(Build!$B$25="(keep equipped)",EquipBase!$W$13,IF(OR(Build!$B$25="(none)",Build!$B$25=""),0,IFERROR(INDEX(GearDB_ALL_WSDMG_ALL_HITS,$B$13),0)))+IF(Build!$B$25="(keep equipped)",0,IF($C$13&gt;0,Build!$D$25*INDEX(AugDB_ALL_WSDMG_ALL_HITS,$C$13),0)+IF(Build!$E$25="ALL_WSDMG_ALL_HITS",Build!$F$25,0)+IF(Build!$G$25="ALL_WSDMG_ALL_HITS",Build!$H$25,0))</f>
        <v/>
      </c>
      <c r="Z13">
        <f>IF(Build!$B$25="(keep equipped)",EquipBase!$X$13,IF(OR(Build!$B$25="(none)",Build!$B$25=""),0,IFERROR(INDEX(GearDB_ALL_WSDMG_FIRST_HIT,$B$13),0)))+IF(Build!$B$25="(keep equipped)",0,IF($C$13&gt;0,Build!$D$25*INDEX(AugDB_ALL_WSDMG_FIRST_HIT,$C$13),0)+IF(Build!$E$25="ALL_WSDMG_FIRST_HIT",Build!$F$25,0)+IF(Build!$G$25="ALL_WSDMG_FIRST_HIT",Build!$H$25,0))</f>
        <v/>
      </c>
      <c r="AA13">
        <f>IF(Build!$B$25="(keep equipped)",EquipBase!$Y$13,IF(OR(Build!$B$25="(none)",Build!$B$25=""),0,IFERROR(INDEX(GearDB_ANY_FTP_BONUS,$B$13),0)))+IF(Build!$B$25="(keep equipped)",0,IF($C$13&gt;0,Build!$D$25*INDEX(AugDB_ANY_FTP_BONUS,$C$13),0)+IF(Build!$E$25="ANY_FTP_BONUS",Build!$F$25,0)+IF(Build!$G$25="ANY_FTP_BONUS",Build!$H$25,0))</f>
        <v/>
      </c>
      <c r="AB13">
        <f>IF(Build!$B$25="(keep equipped)",EquipBase!$Z$13,IF(OR(Build!$B$25="(none)",Build!$B$25=""),0,IFERROR(INDEX(GearDB_WSACC,$B$13),0)))+IF(Build!$B$25="(keep equipped)",0,IF($C$13&gt;0,Build!$D$25*INDEX(AugDB_WSACC,$C$13),0)+IF(Build!$E$25="WSACC",Build!$F$25,0)+IF(Build!$G$25="WSACC",Build!$H$25,0))</f>
        <v/>
      </c>
      <c r="AC13">
        <f>IF(Build!$B$25="(keep equipped)",EquipBase!$AA$13,IF(OR(Build!$B$25="(none)",Build!$B$25=""),0,IFERROR(INDEX(GearDB_WSDMG_225,$B$13),0)))+IF(Build!$B$25="(keep equipped)",0,IF($C$13&gt;0,Build!$D$25*INDEX(AugDB_WSDMG_225,$C$13),0)+IF(Build!$E$25="WSDMG_225",Build!$F$25,0)+IF(Build!$G$25="WSDMG_225",Build!$H$25,0))</f>
        <v/>
      </c>
    </row>
    <row r="14">
      <c r="A14" t="inlineStr">
        <is>
          <t>ring2</t>
        </is>
      </c>
      <c r="B14">
        <f>IFERROR(MATCH(Build!$B$26,GearDB_names,0),0)</f>
        <v/>
      </c>
      <c r="C14">
        <f>IFERROR(MATCH(Build!$C$26,AugDB_labels,0),0)</f>
        <v/>
      </c>
      <c r="D14">
        <f>IF(Build!$B$26="(keep equipped)",EquipBase!$B$14,IF(OR(Build!$B$26="(none)",Build!$B$26=""),0,IFERROR(INDEX(GearDB_STR,$B$14),0)))+IF(Build!$B$26="(keep equipped)",0,IF($C$14&gt;0,Build!$D$26*INDEX(AugDB_STR,$C$14),0)+IF(Build!$E$26="STR",Build!$F$26,0)+IF(Build!$G$26="STR",Build!$H$26,0))</f>
        <v/>
      </c>
      <c r="E14">
        <f>IF(Build!$B$26="(keep equipped)",EquipBase!$C$14,IF(OR(Build!$B$26="(none)",Build!$B$26=""),0,IFERROR(INDEX(GearDB_DEX,$B$14),0)))+IF(Build!$B$26="(keep equipped)",0,IF($C$14&gt;0,Build!$D$26*INDEX(AugDB_DEX,$C$14),0)+IF(Build!$E$26="DEX",Build!$F$26,0)+IF(Build!$G$26="DEX",Build!$H$26,0))</f>
        <v/>
      </c>
      <c r="F14">
        <f>IF(Build!$B$26="(keep equipped)",EquipBase!$D$14,IF(OR(Build!$B$26="(none)",Build!$B$26=""),0,IFERROR(INDEX(GearDB_VIT,$B$14),0)))+IF(Build!$B$26="(keep equipped)",0,IF($C$14&gt;0,Build!$D$26*INDEX(AugDB_VIT,$C$14),0)+IF(Build!$E$26="VIT",Build!$F$26,0)+IF(Build!$G$26="VIT",Build!$H$26,0))</f>
        <v/>
      </c>
      <c r="G14">
        <f>IF(Build!$B$26="(keep equipped)",EquipBase!$E$14,IF(OR(Build!$B$26="(none)",Build!$B$26=""),0,IFERROR(INDEX(GearDB_AGI,$B$14),0)))+IF(Build!$B$26="(keep equipped)",0,IF($C$14&gt;0,Build!$D$26*INDEX(AugDB_AGI,$C$14),0)+IF(Build!$E$26="AGI",Build!$F$26,0)+IF(Build!$G$26="AGI",Build!$H$26,0))</f>
        <v/>
      </c>
      <c r="H14">
        <f>IF(Build!$B$26="(keep equipped)",EquipBase!$F$14,IF(OR(Build!$B$26="(none)",Build!$B$26=""),0,IFERROR(INDEX(GearDB_INT,$B$14),0)))+IF(Build!$B$26="(keep equipped)",0,IF($C$14&gt;0,Build!$D$26*INDEX(AugDB_INT,$C$14),0)+IF(Build!$E$26="INT",Build!$F$26,0)+IF(Build!$G$26="INT",Build!$H$26,0))</f>
        <v/>
      </c>
      <c r="I14">
        <f>IF(Build!$B$26="(keep equipped)",EquipBase!$G$14,IF(OR(Build!$B$26="(none)",Build!$B$26=""),0,IFERROR(INDEX(GearDB_MND,$B$14),0)))+IF(Build!$B$26="(keep equipped)",0,IF($C$14&gt;0,Build!$D$26*INDEX(AugDB_MND,$C$14),0)+IF(Build!$E$26="MND",Build!$F$26,0)+IF(Build!$G$26="MND",Build!$H$26,0))</f>
        <v/>
      </c>
      <c r="J14">
        <f>IF(Build!$B$26="(keep equipped)",EquipBase!$H$14,IF(OR(Build!$B$26="(none)",Build!$B$26=""),0,IFERROR(INDEX(GearDB_CHR,$B$14),0)))+IF(Build!$B$26="(keep equipped)",0,IF($C$14&gt;0,Build!$D$26*INDEX(AugDB_CHR,$C$14),0)+IF(Build!$E$26="CHR",Build!$F$26,0)+IF(Build!$G$26="CHR",Build!$H$26,0))</f>
        <v/>
      </c>
      <c r="K14">
        <f>IF(Build!$B$26="(keep equipped)",EquipBase!$I$14,IF(OR(Build!$B$26="(none)",Build!$B$26=""),0,IFERROR(INDEX(GearDB_ATT,$B$14),0)))+IF(Build!$B$26="(keep equipped)",0,IF($C$14&gt;0,Build!$D$26*INDEX(AugDB_ATT,$C$14),0)+IF(Build!$E$26="ATT",Build!$F$26,0)+IF(Build!$G$26="ATT",Build!$H$26,0))</f>
        <v/>
      </c>
      <c r="L14">
        <f>IF(Build!$B$26="(keep equipped)",EquipBase!$J$14,IF(OR(Build!$B$26="(none)",Build!$B$26=""),0,IFERROR(INDEX(GearDB_ATTP,$B$14),0)))+IF(Build!$B$26="(keep equipped)",0,IF($C$14&gt;0,Build!$D$26*INDEX(AugDB_ATTP,$C$14),0)+IF(Build!$E$26="ATTP",Build!$F$26,0)+IF(Build!$G$26="ATTP",Build!$H$26,0))</f>
        <v/>
      </c>
      <c r="M14">
        <f>IF(Build!$B$26="(keep equipped)",EquipBase!$K$14,IF(OR(Build!$B$26="(none)",Build!$B$26=""),0,IFERROR(INDEX(GearDB_ACC,$B$14),0)))+IF(Build!$B$26="(keep equipped)",0,IF($C$14&gt;0,Build!$D$26*INDEX(AugDB_ACC,$C$14),0)+IF(Build!$E$26="ACC",Build!$F$26,0)+IF(Build!$G$26="ACC",Build!$H$26,0))</f>
        <v/>
      </c>
      <c r="N14">
        <f>IF(Build!$B$26="(keep equipped)",EquipBase!$L$14,IF(OR(Build!$B$26="(none)",Build!$B$26=""),0,IFERROR(INDEX(GearDB_CRITHITRATE,$B$14),0)))+IF(Build!$B$26="(keep equipped)",0,IF($C$14&gt;0,Build!$D$26*INDEX(AugDB_CRITHITRATE,$C$14),0)+IF(Build!$E$26="CRITHITRATE",Build!$F$26,0)+IF(Build!$G$26="CRITHITRATE",Build!$H$26,0))</f>
        <v/>
      </c>
      <c r="O14">
        <f>IF(Build!$B$26="(keep equipped)",EquipBase!$M$14,IF(OR(Build!$B$26="(none)",Build!$B$26=""),0,IFERROR(INDEX(GearDB_CRIT_DMG_INCREASE,$B$14),0)))+IF(Build!$B$26="(keep equipped)",0,IF($C$14&gt;0,Build!$D$26*INDEX(AugDB_CRIT_DMG_INCREASE,$C$14),0)+IF(Build!$E$26="CRIT_DMG_INCREASE",Build!$F$26,0)+IF(Build!$G$26="CRIT_DMG_INCREASE",Build!$H$26,0))</f>
        <v/>
      </c>
      <c r="P14">
        <f>IF(Build!$B$26="(keep equipped)",EquipBase!$N$14,IF(OR(Build!$B$26="(none)",Build!$B$26=""),0,IFERROR(INDEX(GearDB_DOUBLE_ATTACK,$B$14),0)))+IF(Build!$B$26="(keep equipped)",0,IF($C$14&gt;0,Build!$D$26*INDEX(AugDB_DOUBLE_ATTACK,$C$14),0)+IF(Build!$E$26="DOUBLE_ATTACK",Build!$F$26,0)+IF(Build!$G$26="DOUBLE_ATTACK",Build!$H$26,0))</f>
        <v/>
      </c>
      <c r="Q14">
        <f>IF(Build!$B$26="(keep equipped)",EquipBase!$O$14,IF(OR(Build!$B$26="(none)",Build!$B$26=""),0,IFERROR(INDEX(GearDB_TRIPLE_ATTACK,$B$14),0)))+IF(Build!$B$26="(keep equipped)",0,IF($C$14&gt;0,Build!$D$26*INDEX(AugDB_TRIPLE_ATTACK,$C$14),0)+IF(Build!$E$26="TRIPLE_ATTACK",Build!$F$26,0)+IF(Build!$G$26="TRIPLE_ATTACK",Build!$H$26,0))</f>
        <v/>
      </c>
      <c r="R14">
        <f>IF(Build!$B$26="(keep equipped)",EquipBase!$P$14,IF(OR(Build!$B$26="(none)",Build!$B$26=""),0,IFERROR(INDEX(GearDB_QUAD_ATTACK,$B$14),0)))+IF(Build!$B$26="(keep equipped)",0,IF($C$14&gt;0,Build!$D$26*INDEX(AugDB_QUAD_ATTACK,$C$14),0)+IF(Build!$E$26="QUAD_ATTACK",Build!$F$26,0)+IF(Build!$G$26="QUAD_ATTACK",Build!$H$26,0))</f>
        <v/>
      </c>
      <c r="S14">
        <f>IF(Build!$B$26="(keep equipped)",EquipBase!$Q$14,IF(OR(Build!$B$26="(none)",Build!$B$26=""),0,IFERROR(INDEX(GearDB_HASTE_GEAR,$B$14),0)))+IF(Build!$B$26="(keep equipped)",0,IF($C$14&gt;0,Build!$D$26*INDEX(AugDB_HASTE_GEAR,$C$14),0)+IF(Build!$E$26="HASTE_GEAR",Build!$F$26,0)+IF(Build!$G$26="HASTE_GEAR",Build!$H$26,0))</f>
        <v/>
      </c>
      <c r="T14">
        <f>IF(Build!$B$26="(keep equipped)",EquipBase!$R$14,IF(OR(Build!$B$26="(none)",Build!$B$26=""),0,IFERROR(INDEX(GearDB_HASTE_MAGIC,$B$14),0)))+IF(Build!$B$26="(keep equipped)",0,IF($C$14&gt;0,Build!$D$26*INDEX(AugDB_HASTE_MAGIC,$C$14),0)+IF(Build!$E$26="HASTE_MAGIC",Build!$F$26,0)+IF(Build!$G$26="HASTE_MAGIC",Build!$H$26,0))</f>
        <v/>
      </c>
      <c r="U14">
        <f>IF(Build!$B$26="(keep equipped)",EquipBase!$S$14,IF(OR(Build!$B$26="(none)",Build!$B$26=""),0,IFERROR(INDEX(GearDB_HASTE_ABILITY,$B$14),0)))+IF(Build!$B$26="(keep equipped)",0,IF($C$14&gt;0,Build!$D$26*INDEX(AugDB_HASTE_ABILITY,$C$14),0)+IF(Build!$E$26="HASTE_ABILITY",Build!$F$26,0)+IF(Build!$G$26="HASTE_ABILITY",Build!$H$26,0))</f>
        <v/>
      </c>
      <c r="V14">
        <f>IF(Build!$B$26="(keep equipped)",EquipBase!$T$14,IF(OR(Build!$B$26="(none)",Build!$B$26=""),0,IFERROR(INDEX(GearDB_DUAL_WIELD,$B$14),0)))+IF(Build!$B$26="(keep equipped)",0,IF($C$14&gt;0,Build!$D$26*INDEX(AugDB_DUAL_WIELD,$C$14),0)+IF(Build!$E$26="DUAL_WIELD",Build!$F$26,0)+IF(Build!$G$26="DUAL_WIELD",Build!$H$26,0))</f>
        <v/>
      </c>
      <c r="W14">
        <f>IF(Build!$B$26="(keep equipped)",EquipBase!$U$14,IF(OR(Build!$B$26="(none)",Build!$B$26=""),0,IFERROR(INDEX(GearDB_STORETP,$B$14),0)))+IF(Build!$B$26="(keep equipped)",0,IF($C$14&gt;0,Build!$D$26*INDEX(AugDB_STORETP,$C$14),0)+IF(Build!$E$26="STORETP",Build!$F$26,0)+IF(Build!$G$26="STORETP",Build!$H$26,0))</f>
        <v/>
      </c>
      <c r="X14">
        <f>IF(Build!$B$26="(keep equipped)",EquipBase!$V$14,IF(OR(Build!$B$26="(none)",Build!$B$26=""),0,IFERROR(INDEX(GearDB_TP_BONUS,$B$14),0)))+IF(Build!$B$26="(keep equipped)",0,IF($C$14&gt;0,Build!$D$26*INDEX(AugDB_TP_BONUS,$C$14),0)+IF(Build!$E$26="TP_BONUS",Build!$F$26,0)+IF(Build!$G$26="TP_BONUS",Build!$H$26,0))</f>
        <v/>
      </c>
      <c r="Y14">
        <f>IF(Build!$B$26="(keep equipped)",EquipBase!$W$14,IF(OR(Build!$B$26="(none)",Build!$B$26=""),0,IFERROR(INDEX(GearDB_ALL_WSDMG_ALL_HITS,$B$14),0)))+IF(Build!$B$26="(keep equipped)",0,IF($C$14&gt;0,Build!$D$26*INDEX(AugDB_ALL_WSDMG_ALL_HITS,$C$14),0)+IF(Build!$E$26="ALL_WSDMG_ALL_HITS",Build!$F$26,0)+IF(Build!$G$26="ALL_WSDMG_ALL_HITS",Build!$H$26,0))</f>
        <v/>
      </c>
      <c r="Z14">
        <f>IF(Build!$B$26="(keep equipped)",EquipBase!$X$14,IF(OR(Build!$B$26="(none)",Build!$B$26=""),0,IFERROR(INDEX(GearDB_ALL_WSDMG_FIRST_HIT,$B$14),0)))+IF(Build!$B$26="(keep equipped)",0,IF($C$14&gt;0,Build!$D$26*INDEX(AugDB_ALL_WSDMG_FIRST_HIT,$C$14),0)+IF(Build!$E$26="ALL_WSDMG_FIRST_HIT",Build!$F$26,0)+IF(Build!$G$26="ALL_WSDMG_FIRST_HIT",Build!$H$26,0))</f>
        <v/>
      </c>
      <c r="AA14">
        <f>IF(Build!$B$26="(keep equipped)",EquipBase!$Y$14,IF(OR(Build!$B$26="(none)",Build!$B$26=""),0,IFERROR(INDEX(GearDB_ANY_FTP_BONUS,$B$14),0)))+IF(Build!$B$26="(keep equipped)",0,IF($C$14&gt;0,Build!$D$26*INDEX(AugDB_ANY_FTP_BONUS,$C$14),0)+IF(Build!$E$26="ANY_FTP_BONUS",Build!$F$26,0)+IF(Build!$G$26="ANY_FTP_BONUS",Build!$H$26,0))</f>
        <v/>
      </c>
      <c r="AB14">
        <f>IF(Build!$B$26="(keep equipped)",EquipBase!$Z$14,IF(OR(Build!$B$26="(none)",Build!$B$26=""),0,IFERROR(INDEX(GearDB_WSACC,$B$14),0)))+IF(Build!$B$26="(keep equipped)",0,IF($C$14&gt;0,Build!$D$26*INDEX(AugDB_WSACC,$C$14),0)+IF(Build!$E$26="WSACC",Build!$F$26,0)+IF(Build!$G$26="WSACC",Build!$H$26,0))</f>
        <v/>
      </c>
      <c r="AC14">
        <f>IF(Build!$B$26="(keep equipped)",EquipBase!$AA$14,IF(OR(Build!$B$26="(none)",Build!$B$26=""),0,IFERROR(INDEX(GearDB_WSDMG_225,$B$14),0)))+IF(Build!$B$26="(keep equipped)",0,IF($C$14&gt;0,Build!$D$26*INDEX(AugDB_WSDMG_225,$C$14),0)+IF(Build!$E$26="WSDMG_225",Build!$F$26,0)+IF(Build!$G$26="WSDMG_225",Build!$H$26,0))</f>
        <v/>
      </c>
    </row>
    <row r="15">
      <c r="A15" t="inlineStr">
        <is>
          <t>back</t>
        </is>
      </c>
      <c r="B15">
        <f>IFERROR(MATCH(Build!$B$27,GearDB_names,0),0)</f>
        <v/>
      </c>
      <c r="C15">
        <f>IFERROR(MATCH(Build!$C$27,AugDB_labels,0),0)</f>
        <v/>
      </c>
      <c r="D15">
        <f>IF(Build!$B$27="(keep equipped)",EquipBase!$B$15,IF(OR(Build!$B$27="(none)",Build!$B$27=""),0,IFERROR(INDEX(GearDB_STR,$B$15),0)))+IF(Build!$B$27="(keep equipped)",0,IF($C$15&gt;0,Build!$D$27*INDEX(AugDB_STR,$C$15),0)+IF(Build!$E$27="STR",Build!$F$27,0)+IF(Build!$G$27="STR",Build!$H$27,0))</f>
        <v/>
      </c>
      <c r="E15">
        <f>IF(Build!$B$27="(keep equipped)",EquipBase!$C$15,IF(OR(Build!$B$27="(none)",Build!$B$27=""),0,IFERROR(INDEX(GearDB_DEX,$B$15),0)))+IF(Build!$B$27="(keep equipped)",0,IF($C$15&gt;0,Build!$D$27*INDEX(AugDB_DEX,$C$15),0)+IF(Build!$E$27="DEX",Build!$F$27,0)+IF(Build!$G$27="DEX",Build!$H$27,0))</f>
        <v/>
      </c>
      <c r="F15">
        <f>IF(Build!$B$27="(keep equipped)",EquipBase!$D$15,IF(OR(Build!$B$27="(none)",Build!$B$27=""),0,IFERROR(INDEX(GearDB_VIT,$B$15),0)))+IF(Build!$B$27="(keep equipped)",0,IF($C$15&gt;0,Build!$D$27*INDEX(AugDB_VIT,$C$15),0)+IF(Build!$E$27="VIT",Build!$F$27,0)+IF(Build!$G$27="VIT",Build!$H$27,0))</f>
        <v/>
      </c>
      <c r="G15">
        <f>IF(Build!$B$27="(keep equipped)",EquipBase!$E$15,IF(OR(Build!$B$27="(none)",Build!$B$27=""),0,IFERROR(INDEX(GearDB_AGI,$B$15),0)))+IF(Build!$B$27="(keep equipped)",0,IF($C$15&gt;0,Build!$D$27*INDEX(AugDB_AGI,$C$15),0)+IF(Build!$E$27="AGI",Build!$F$27,0)+IF(Build!$G$27="AGI",Build!$H$27,0))</f>
        <v/>
      </c>
      <c r="H15">
        <f>IF(Build!$B$27="(keep equipped)",EquipBase!$F$15,IF(OR(Build!$B$27="(none)",Build!$B$27=""),0,IFERROR(INDEX(GearDB_INT,$B$15),0)))+IF(Build!$B$27="(keep equipped)",0,IF($C$15&gt;0,Build!$D$27*INDEX(AugDB_INT,$C$15),0)+IF(Build!$E$27="INT",Build!$F$27,0)+IF(Build!$G$27="INT",Build!$H$27,0))</f>
        <v/>
      </c>
      <c r="I15">
        <f>IF(Build!$B$27="(keep equipped)",EquipBase!$G$15,IF(OR(Build!$B$27="(none)",Build!$B$27=""),0,IFERROR(INDEX(GearDB_MND,$B$15),0)))+IF(Build!$B$27="(keep equipped)",0,IF($C$15&gt;0,Build!$D$27*INDEX(AugDB_MND,$C$15),0)+IF(Build!$E$27="MND",Build!$F$27,0)+IF(Build!$G$27="MND",Build!$H$27,0))</f>
        <v/>
      </c>
      <c r="J15">
        <f>IF(Build!$B$27="(keep equipped)",EquipBase!$H$15,IF(OR(Build!$B$27="(none)",Build!$B$27=""),0,IFERROR(INDEX(GearDB_CHR,$B$15),0)))+IF(Build!$B$27="(keep equipped)",0,IF($C$15&gt;0,Build!$D$27*INDEX(AugDB_CHR,$C$15),0)+IF(Build!$E$27="CHR",Build!$F$27,0)+IF(Build!$G$27="CHR",Build!$H$27,0))</f>
        <v/>
      </c>
      <c r="K15">
        <f>IF(Build!$B$27="(keep equipped)",EquipBase!$I$15,IF(OR(Build!$B$27="(none)",Build!$B$27=""),0,IFERROR(INDEX(GearDB_ATT,$B$15),0)))+IF(Build!$B$27="(keep equipped)",0,IF($C$15&gt;0,Build!$D$27*INDEX(AugDB_ATT,$C$15),0)+IF(Build!$E$27="ATT",Build!$F$27,0)+IF(Build!$G$27="ATT",Build!$H$27,0))</f>
        <v/>
      </c>
      <c r="L15">
        <f>IF(Build!$B$27="(keep equipped)",EquipBase!$J$15,IF(OR(Build!$B$27="(none)",Build!$B$27=""),0,IFERROR(INDEX(GearDB_ATTP,$B$15),0)))+IF(Build!$B$27="(keep equipped)",0,IF($C$15&gt;0,Build!$D$27*INDEX(AugDB_ATTP,$C$15),0)+IF(Build!$E$27="ATTP",Build!$F$27,0)+IF(Build!$G$27="ATTP",Build!$H$27,0))</f>
        <v/>
      </c>
      <c r="M15">
        <f>IF(Build!$B$27="(keep equipped)",EquipBase!$K$15,IF(OR(Build!$B$27="(none)",Build!$B$27=""),0,IFERROR(INDEX(GearDB_ACC,$B$15),0)))+IF(Build!$B$27="(keep equipped)",0,IF($C$15&gt;0,Build!$D$27*INDEX(AugDB_ACC,$C$15),0)+IF(Build!$E$27="ACC",Build!$F$27,0)+IF(Build!$G$27="ACC",Build!$H$27,0))</f>
        <v/>
      </c>
      <c r="N15">
        <f>IF(Build!$B$27="(keep equipped)",EquipBase!$L$15,IF(OR(Build!$B$27="(none)",Build!$B$27=""),0,IFERROR(INDEX(GearDB_CRITHITRATE,$B$15),0)))+IF(Build!$B$27="(keep equipped)",0,IF($C$15&gt;0,Build!$D$27*INDEX(AugDB_CRITHITRATE,$C$15),0)+IF(Build!$E$27="CRITHITRATE",Build!$F$27,0)+IF(Build!$G$27="CRITHITRATE",Build!$H$27,0))</f>
        <v/>
      </c>
      <c r="O15">
        <f>IF(Build!$B$27="(keep equipped)",EquipBase!$M$15,IF(OR(Build!$B$27="(none)",Build!$B$27=""),0,IFERROR(INDEX(GearDB_CRIT_DMG_INCREASE,$B$15),0)))+IF(Build!$B$27="(keep equipped)",0,IF($C$15&gt;0,Build!$D$27*INDEX(AugDB_CRIT_DMG_INCREASE,$C$15),0)+IF(Build!$E$27="CRIT_DMG_INCREASE",Build!$F$27,0)+IF(Build!$G$27="CRIT_DMG_INCREASE",Build!$H$27,0))</f>
        <v/>
      </c>
      <c r="P15">
        <f>IF(Build!$B$27="(keep equipped)",EquipBase!$N$15,IF(OR(Build!$B$27="(none)",Build!$B$27=""),0,IFERROR(INDEX(GearDB_DOUBLE_ATTACK,$B$15),0)))+IF(Build!$B$27="(keep equipped)",0,IF($C$15&gt;0,Build!$D$27*INDEX(AugDB_DOUBLE_ATTACK,$C$15),0)+IF(Build!$E$27="DOUBLE_ATTACK",Build!$F$27,0)+IF(Build!$G$27="DOUBLE_ATTACK",Build!$H$27,0))</f>
        <v/>
      </c>
      <c r="Q15">
        <f>IF(Build!$B$27="(keep equipped)",EquipBase!$O$15,IF(OR(Build!$B$27="(none)",Build!$B$27=""),0,IFERROR(INDEX(GearDB_TRIPLE_ATTACK,$B$15),0)))+IF(Build!$B$27="(keep equipped)",0,IF($C$15&gt;0,Build!$D$27*INDEX(AugDB_TRIPLE_ATTACK,$C$15),0)+IF(Build!$E$27="TRIPLE_ATTACK",Build!$F$27,0)+IF(Build!$G$27="TRIPLE_ATTACK",Build!$H$27,0))</f>
        <v/>
      </c>
      <c r="R15">
        <f>IF(Build!$B$27="(keep equipped)",EquipBase!$P$15,IF(OR(Build!$B$27="(none)",Build!$B$27=""),0,IFERROR(INDEX(GearDB_QUAD_ATTACK,$B$15),0)))+IF(Build!$B$27="(keep equipped)",0,IF($C$15&gt;0,Build!$D$27*INDEX(AugDB_QUAD_ATTACK,$C$15),0)+IF(Build!$E$27="QUAD_ATTACK",Build!$F$27,0)+IF(Build!$G$27="QUAD_ATTACK",Build!$H$27,0))</f>
        <v/>
      </c>
      <c r="S15">
        <f>IF(Build!$B$27="(keep equipped)",EquipBase!$Q$15,IF(OR(Build!$B$27="(none)",Build!$B$27=""),0,IFERROR(INDEX(GearDB_HASTE_GEAR,$B$15),0)))+IF(Build!$B$27="(keep equipped)",0,IF($C$15&gt;0,Build!$D$27*INDEX(AugDB_HASTE_GEAR,$C$15),0)+IF(Build!$E$27="HASTE_GEAR",Build!$F$27,0)+IF(Build!$G$27="HASTE_GEAR",Build!$H$27,0))</f>
        <v/>
      </c>
      <c r="T15">
        <f>IF(Build!$B$27="(keep equipped)",EquipBase!$R$15,IF(OR(Build!$B$27="(none)",Build!$B$27=""),0,IFERROR(INDEX(GearDB_HASTE_MAGIC,$B$15),0)))+IF(Build!$B$27="(keep equipped)",0,IF($C$15&gt;0,Build!$D$27*INDEX(AugDB_HASTE_MAGIC,$C$15),0)+IF(Build!$E$27="HASTE_MAGIC",Build!$F$27,0)+IF(Build!$G$27="HASTE_MAGIC",Build!$H$27,0))</f>
        <v/>
      </c>
      <c r="U15">
        <f>IF(Build!$B$27="(keep equipped)",EquipBase!$S$15,IF(OR(Build!$B$27="(none)",Build!$B$27=""),0,IFERROR(INDEX(GearDB_HASTE_ABILITY,$B$15),0)))+IF(Build!$B$27="(keep equipped)",0,IF($C$15&gt;0,Build!$D$27*INDEX(AugDB_HASTE_ABILITY,$C$15),0)+IF(Build!$E$27="HASTE_ABILITY",Build!$F$27,0)+IF(Build!$G$27="HASTE_ABILITY",Build!$H$27,0))</f>
        <v/>
      </c>
      <c r="V15">
        <f>IF(Build!$B$27="(keep equipped)",EquipBase!$T$15,IF(OR(Build!$B$27="(none)",Build!$B$27=""),0,IFERROR(INDEX(GearDB_DUAL_WIELD,$B$15),0)))+IF(Build!$B$27="(keep equipped)",0,IF($C$15&gt;0,Build!$D$27*INDEX(AugDB_DUAL_WIELD,$C$15),0)+IF(Build!$E$27="DUAL_WIELD",Build!$F$27,0)+IF(Build!$G$27="DUAL_WIELD",Build!$H$27,0))</f>
        <v/>
      </c>
      <c r="W15">
        <f>IF(Build!$B$27="(keep equipped)",EquipBase!$U$15,IF(OR(Build!$B$27="(none)",Build!$B$27=""),0,IFERROR(INDEX(GearDB_STORETP,$B$15),0)))+IF(Build!$B$27="(keep equipped)",0,IF($C$15&gt;0,Build!$D$27*INDEX(AugDB_STORETP,$C$15),0)+IF(Build!$E$27="STORETP",Build!$F$27,0)+IF(Build!$G$27="STORETP",Build!$H$27,0))</f>
        <v/>
      </c>
      <c r="X15">
        <f>IF(Build!$B$27="(keep equipped)",EquipBase!$V$15,IF(OR(Build!$B$27="(none)",Build!$B$27=""),0,IFERROR(INDEX(GearDB_TP_BONUS,$B$15),0)))+IF(Build!$B$27="(keep equipped)",0,IF($C$15&gt;0,Build!$D$27*INDEX(AugDB_TP_BONUS,$C$15),0)+IF(Build!$E$27="TP_BONUS",Build!$F$27,0)+IF(Build!$G$27="TP_BONUS",Build!$H$27,0))</f>
        <v/>
      </c>
      <c r="Y15">
        <f>IF(Build!$B$27="(keep equipped)",EquipBase!$W$15,IF(OR(Build!$B$27="(none)",Build!$B$27=""),0,IFERROR(INDEX(GearDB_ALL_WSDMG_ALL_HITS,$B$15),0)))+IF(Build!$B$27="(keep equipped)",0,IF($C$15&gt;0,Build!$D$27*INDEX(AugDB_ALL_WSDMG_ALL_HITS,$C$15),0)+IF(Build!$E$27="ALL_WSDMG_ALL_HITS",Build!$F$27,0)+IF(Build!$G$27="ALL_WSDMG_ALL_HITS",Build!$H$27,0))</f>
        <v/>
      </c>
      <c r="Z15">
        <f>IF(Build!$B$27="(keep equipped)",EquipBase!$X$15,IF(OR(Build!$B$27="(none)",Build!$B$27=""),0,IFERROR(INDEX(GearDB_ALL_WSDMG_FIRST_HIT,$B$15),0)))+IF(Build!$B$27="(keep equipped)",0,IF($C$15&gt;0,Build!$D$27*INDEX(AugDB_ALL_WSDMG_FIRST_HIT,$C$15),0)+IF(Build!$E$27="ALL_WSDMG_FIRST_HIT",Build!$F$27,0)+IF(Build!$G$27="ALL_WSDMG_FIRST_HIT",Build!$H$27,0))</f>
        <v/>
      </c>
      <c r="AA15">
        <f>IF(Build!$B$27="(keep equipped)",EquipBase!$Y$15,IF(OR(Build!$B$27="(none)",Build!$B$27=""),0,IFERROR(INDEX(GearDB_ANY_FTP_BONUS,$B$15),0)))+IF(Build!$B$27="(keep equipped)",0,IF($C$15&gt;0,Build!$D$27*INDEX(AugDB_ANY_FTP_BONUS,$C$15),0)+IF(Build!$E$27="ANY_FTP_BONUS",Build!$F$27,0)+IF(Build!$G$27="ANY_FTP_BONUS",Build!$H$27,0))</f>
        <v/>
      </c>
      <c r="AB15">
        <f>IF(Build!$B$27="(keep equipped)",EquipBase!$Z$15,IF(OR(Build!$B$27="(none)",Build!$B$27=""),0,IFERROR(INDEX(GearDB_WSACC,$B$15),0)))+IF(Build!$B$27="(keep equipped)",0,IF($C$15&gt;0,Build!$D$27*INDEX(AugDB_WSACC,$C$15),0)+IF(Build!$E$27="WSACC",Build!$F$27,0)+IF(Build!$G$27="WSACC",Build!$H$27,0))</f>
        <v/>
      </c>
      <c r="AC15">
        <f>IF(Build!$B$27="(keep equipped)",EquipBase!$AA$15,IF(OR(Build!$B$27="(none)",Build!$B$27=""),0,IFERROR(INDEX(GearDB_WSDMG_225,$B$15),0)))+IF(Build!$B$27="(keep equipped)",0,IF($C$15&gt;0,Build!$D$27*INDEX(AugDB_WSDMG_225,$C$15),0)+IF(Build!$E$27="WSDMG_225",Build!$F$27,0)+IF(Build!$G$27="WSDMG_225",Build!$H$27,0))</f>
        <v/>
      </c>
    </row>
    <row r="16">
      <c r="A16" s="4" t="inlineStr">
        <is>
          <t>TOTAL</t>
        </is>
      </c>
      <c r="D16" s="4">
        <f>SUM(D2:D15)</f>
        <v/>
      </c>
      <c r="E16" s="4">
        <f>SUM(E2:E15)</f>
        <v/>
      </c>
      <c r="F16" s="4">
        <f>SUM(F2:F15)</f>
        <v/>
      </c>
      <c r="G16" s="4">
        <f>SUM(G2:G15)</f>
        <v/>
      </c>
      <c r="H16" s="4">
        <f>SUM(H2:H15)</f>
        <v/>
      </c>
      <c r="I16" s="4">
        <f>SUM(I2:I15)</f>
        <v/>
      </c>
      <c r="J16" s="4">
        <f>SUM(J2:J15)</f>
        <v/>
      </c>
      <c r="K16" s="4">
        <f>SUM(K2:K15)</f>
        <v/>
      </c>
      <c r="L16" s="4">
        <f>SUM(L2:L15)</f>
        <v/>
      </c>
      <c r="M16" s="4">
        <f>SUM(M2:M15)</f>
        <v/>
      </c>
      <c r="N16" s="4">
        <f>SUM(N2:N15)</f>
        <v/>
      </c>
      <c r="O16" s="4">
        <f>SUM(O2:O15)</f>
        <v/>
      </c>
      <c r="P16" s="4">
        <f>SUM(P2:P15)</f>
        <v/>
      </c>
      <c r="Q16" s="4">
        <f>SUM(Q2:Q15)</f>
        <v/>
      </c>
      <c r="R16" s="4">
        <f>SUM(R2:R15)</f>
        <v/>
      </c>
      <c r="S16" s="4">
        <f>SUM(S2:S15)</f>
        <v/>
      </c>
      <c r="T16" s="4">
        <f>SUM(T2:T15)</f>
        <v/>
      </c>
      <c r="U16" s="4">
        <f>SUM(U2:U15)</f>
        <v/>
      </c>
      <c r="V16" s="4">
        <f>SUM(V2:V15)</f>
        <v/>
      </c>
      <c r="W16" s="4">
        <f>SUM(W2:W15)</f>
        <v/>
      </c>
      <c r="X16" s="4">
        <f>SUM(X2:X15)</f>
        <v/>
      </c>
      <c r="Y16" s="4">
        <f>SUM(Y2:Y15)</f>
        <v/>
      </c>
      <c r="Z16" s="4">
        <f>SUM(Z2:Z15)</f>
        <v/>
      </c>
      <c r="AA16" s="4">
        <f>SUM(AA2:AA15)</f>
        <v/>
      </c>
      <c r="AB16" s="4">
        <f>SUM(AB2:AB15)</f>
        <v/>
      </c>
      <c r="AC16" s="4">
        <f>SUM(AC2:AC15)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60" customWidth="1" min="3" max="3"/>
  </cols>
  <sheetData>
    <row r="1">
      <c r="A1" s="11" t="inlineStr">
        <is>
          <t>Baked weapon / context constants</t>
        </is>
      </c>
      <c r="B1" s="12" t="n"/>
    </row>
    <row r="2">
      <c r="A2" t="inlineStr">
        <is>
          <t>weapon rank</t>
        </is>
      </c>
      <c r="B2" t="n">
        <v>20</v>
      </c>
    </row>
    <row r="3">
      <c r="A3" t="inlineStr">
        <is>
          <t>STR-&gt;ATT mult</t>
        </is>
      </c>
      <c r="B3" t="n">
        <v>0.75</v>
      </c>
    </row>
    <row r="4">
      <c r="A4" t="inlineStr">
        <is>
          <t>DEX-&gt;ACC mult</t>
        </is>
      </c>
      <c r="B4" t="n">
        <v>0.75</v>
      </c>
    </row>
    <row r="5">
      <c r="A5" t="inlineStr">
        <is>
          <t>main delay</t>
        </is>
      </c>
      <c r="B5" t="n">
        <v>233</v>
      </c>
    </row>
    <row r="6">
      <c r="A6" t="inlineStr">
        <is>
          <t>pDIF cap</t>
        </is>
      </c>
      <c r="B6" t="n">
        <v>3.25</v>
      </c>
    </row>
    <row r="7">
      <c r="A7" t="inlineStr">
        <is>
          <t>hit-rate cap</t>
        </is>
      </c>
      <c r="B7" t="n">
        <v>0.99</v>
      </c>
    </row>
    <row r="8">
      <c r="A8" t="inlineStr">
        <is>
          <t>WEAPON_SKILL_POWER</t>
        </is>
      </c>
      <c r="B8" t="n">
        <v>2</v>
      </c>
    </row>
    <row r="9">
      <c r="A9" t="inlineStr">
        <is>
          <t>weapon ATTP</t>
        </is>
      </c>
      <c r="B9" t="n">
        <v>0</v>
      </c>
    </row>
    <row r="10">
      <c r="A10" t="inlineStr">
        <is>
          <t>weapon ANY_FTP_BONUS</t>
        </is>
      </c>
      <c r="B10" t="n">
        <v>0</v>
      </c>
    </row>
    <row r="11">
      <c r="A11" t="inlineStr">
        <is>
          <t>weapon WSACC</t>
        </is>
      </c>
      <c r="B11" t="n">
        <v>0</v>
      </c>
    </row>
    <row r="12">
      <c r="A12" s="11" t="inlineStr">
        <is>
          <t>Gear deltas (candidate - equipped)</t>
        </is>
      </c>
      <c r="B12" s="12" t="n"/>
    </row>
    <row r="13">
      <c r="A13" t="inlineStr">
        <is>
          <t>delta STR</t>
        </is>
      </c>
      <c r="B13">
        <f>(GearCalc!$D$16)-(EquipBase!$B$16)</f>
        <v/>
      </c>
    </row>
    <row r="14">
      <c r="A14" t="inlineStr">
        <is>
          <t>delta DEX</t>
        </is>
      </c>
      <c r="B14">
        <f>(GearCalc!$E$16)-(EquipBase!$C$16)</f>
        <v/>
      </c>
    </row>
    <row r="15">
      <c r="A15" t="inlineStr">
        <is>
          <t>delta VIT</t>
        </is>
      </c>
      <c r="B15">
        <f>(GearCalc!$F$16)-(EquipBase!$D$16)</f>
        <v/>
      </c>
    </row>
    <row r="16">
      <c r="A16" t="inlineStr">
        <is>
          <t>delta AGI</t>
        </is>
      </c>
      <c r="B16">
        <f>(GearCalc!$G$16)-(EquipBase!$E$16)</f>
        <v/>
      </c>
    </row>
    <row r="17">
      <c r="A17" t="inlineStr">
        <is>
          <t>delta INT</t>
        </is>
      </c>
      <c r="B17">
        <f>(GearCalc!$H$16)-(EquipBase!$F$16)</f>
        <v/>
      </c>
    </row>
    <row r="18">
      <c r="A18" t="inlineStr">
        <is>
          <t>delta MND</t>
        </is>
      </c>
      <c r="B18">
        <f>(GearCalc!$I$16)-(EquipBase!$G$16)</f>
        <v/>
      </c>
    </row>
    <row r="19">
      <c r="A19" t="inlineStr">
        <is>
          <t>delta CHR</t>
        </is>
      </c>
      <c r="B19">
        <f>(GearCalc!$J$16)-(EquipBase!$H$16)</f>
        <v/>
      </c>
    </row>
    <row r="20">
      <c r="A20" t="inlineStr">
        <is>
          <t>delta ATT</t>
        </is>
      </c>
      <c r="B20">
        <f>(GearCalc!$K$16)-(EquipBase!$I$16)</f>
        <v/>
      </c>
    </row>
    <row r="21">
      <c r="A21" t="inlineStr">
        <is>
          <t>delta ATTP</t>
        </is>
      </c>
      <c r="B21">
        <f>(GearCalc!$L$16)-(EquipBase!$J$16)</f>
        <v/>
      </c>
    </row>
    <row r="22">
      <c r="A22" t="inlineStr">
        <is>
          <t>delta ACC</t>
        </is>
      </c>
      <c r="B22">
        <f>(GearCalc!$M$16)-(EquipBase!$K$16)</f>
        <v/>
      </c>
    </row>
    <row r="23">
      <c r="A23" t="inlineStr">
        <is>
          <t>delta CRITHITRATE</t>
        </is>
      </c>
      <c r="B23">
        <f>(GearCalc!$N$16)-(EquipBase!$L$16)</f>
        <v/>
      </c>
    </row>
    <row r="24">
      <c r="A24" t="inlineStr">
        <is>
          <t>delta CRIT_DMG_INCREASE</t>
        </is>
      </c>
      <c r="B24">
        <f>(GearCalc!$O$16)-(EquipBase!$M$16)</f>
        <v/>
      </c>
    </row>
    <row r="25">
      <c r="A25" t="inlineStr">
        <is>
          <t>delta DOUBLE_ATTACK</t>
        </is>
      </c>
      <c r="B25">
        <f>(GearCalc!$P$16)-(EquipBase!$N$16)</f>
        <v/>
      </c>
    </row>
    <row r="26">
      <c r="A26" t="inlineStr">
        <is>
          <t>delta TRIPLE_ATTACK</t>
        </is>
      </c>
      <c r="B26">
        <f>(GearCalc!$Q$16)-(EquipBase!$O$16)</f>
        <v/>
      </c>
    </row>
    <row r="27">
      <c r="A27" t="inlineStr">
        <is>
          <t>delta QUAD_ATTACK</t>
        </is>
      </c>
      <c r="B27">
        <f>(GearCalc!$R$16)-(EquipBase!$P$16)</f>
        <v/>
      </c>
    </row>
    <row r="28">
      <c r="A28" t="inlineStr">
        <is>
          <t>delta HASTE_GEAR</t>
        </is>
      </c>
      <c r="B28">
        <f>(GearCalc!$S$16)-(EquipBase!$Q$16)</f>
        <v/>
      </c>
    </row>
    <row r="29">
      <c r="A29" t="inlineStr">
        <is>
          <t>delta HASTE_MAGIC</t>
        </is>
      </c>
      <c r="B29">
        <f>(GearCalc!$T$16)-(EquipBase!$R$16)</f>
        <v/>
      </c>
    </row>
    <row r="30">
      <c r="A30" t="inlineStr">
        <is>
          <t>delta HASTE_ABILITY</t>
        </is>
      </c>
      <c r="B30">
        <f>(GearCalc!$U$16)-(EquipBase!$S$16)</f>
        <v/>
      </c>
    </row>
    <row r="31">
      <c r="A31" t="inlineStr">
        <is>
          <t>delta DUAL_WIELD</t>
        </is>
      </c>
      <c r="B31">
        <f>(GearCalc!$V$16)-(EquipBase!$T$16)</f>
        <v/>
      </c>
    </row>
    <row r="32">
      <c r="A32" t="inlineStr">
        <is>
          <t>delta STORETP</t>
        </is>
      </c>
      <c r="B32">
        <f>(GearCalc!$W$16)-(EquipBase!$U$16)</f>
        <v/>
      </c>
    </row>
    <row r="33">
      <c r="A33" t="inlineStr">
        <is>
          <t>delta TP_BONUS</t>
        </is>
      </c>
      <c r="B33">
        <f>(GearCalc!$X$16)-(EquipBase!$V$16)</f>
        <v/>
      </c>
    </row>
    <row r="34">
      <c r="A34" t="inlineStr">
        <is>
          <t>delta ALL_WSDMG_ALL_HITS</t>
        </is>
      </c>
      <c r="B34">
        <f>(GearCalc!$Y$16)-(EquipBase!$W$16)</f>
        <v/>
      </c>
    </row>
    <row r="35">
      <c r="A35" t="inlineStr">
        <is>
          <t>delta ALL_WSDMG_FIRST_HIT</t>
        </is>
      </c>
      <c r="B35">
        <f>(GearCalc!$Z$16)-(EquipBase!$X$16)</f>
        <v/>
      </c>
    </row>
    <row r="36">
      <c r="A36" t="inlineStr">
        <is>
          <t>delta ANY_FTP_BONUS</t>
        </is>
      </c>
      <c r="B36">
        <f>(GearCalc!$AA$16)-(EquipBase!$Y$16)</f>
        <v/>
      </c>
    </row>
    <row r="37">
      <c r="A37" t="inlineStr">
        <is>
          <t>delta WSACC</t>
        </is>
      </c>
      <c r="B37">
        <f>(GearCalc!$AB$16)-(EquipBase!$Z$16)</f>
        <v/>
      </c>
    </row>
    <row r="38">
      <c r="A38" s="11" t="inlineStr">
        <is>
          <t>Final candidate stats (anchored-delta)</t>
        </is>
      </c>
      <c r="B38" s="12" t="n"/>
    </row>
    <row r="39">
      <c r="A39" t="inlineStr">
        <is>
          <t>STR</t>
        </is>
      </c>
      <c r="B39">
        <f>(Stats!$B$4)+(Calc!$B$13)</f>
        <v/>
      </c>
    </row>
    <row r="40">
      <c r="A40" t="inlineStr">
        <is>
          <t>DEX</t>
        </is>
      </c>
      <c r="B40">
        <f>(Stats!$B$5)+(Calc!$B$14)</f>
        <v/>
      </c>
    </row>
    <row r="41">
      <c r="A41" t="inlineStr">
        <is>
          <t>VIT</t>
        </is>
      </c>
      <c r="B41">
        <f>(Stats!$B$6)+(Calc!$B$15)</f>
        <v/>
      </c>
    </row>
    <row r="42">
      <c r="A42" t="inlineStr">
        <is>
          <t>AGI</t>
        </is>
      </c>
      <c r="B42">
        <f>(Stats!$B$7)+(Calc!$B$16)</f>
        <v/>
      </c>
    </row>
    <row r="43">
      <c r="A43" t="inlineStr">
        <is>
          <t>INT</t>
        </is>
      </c>
      <c r="B43">
        <f>(Stats!$B$8)+(Calc!$B$17)</f>
        <v/>
      </c>
    </row>
    <row r="44">
      <c r="A44" t="inlineStr">
        <is>
          <t>MND</t>
        </is>
      </c>
      <c r="B44">
        <f>(Stats!$B$9)+(Calc!$B$18)</f>
        <v/>
      </c>
    </row>
    <row r="45">
      <c r="A45" t="inlineStr">
        <is>
          <t>CHR</t>
        </is>
      </c>
      <c r="B45">
        <f>(Stats!$B$10)+(Calc!$B$19)</f>
        <v/>
      </c>
    </row>
    <row r="46">
      <c r="A46" t="inlineStr">
        <is>
          <t>ATTP (equipped)</t>
        </is>
      </c>
      <c r="B46">
        <f>(Calc!$B$9)+(EquipBase!$J$16)</f>
        <v/>
      </c>
    </row>
    <row r="47">
      <c r="A47" t="inlineStr">
        <is>
          <t>ATTP (candidate)</t>
        </is>
      </c>
      <c r="B47">
        <f>(Calc!$B$9)+(GearCalc!$L$16)</f>
        <v/>
      </c>
    </row>
    <row r="48">
      <c r="A48" t="inlineStr">
        <is>
          <t>ATT core (anchor)</t>
        </is>
      </c>
      <c r="B48">
        <f>ROUND(Stats!$B$11/(1+(Calc!$B$46)/100),0)</f>
        <v/>
      </c>
    </row>
    <row r="49">
      <c r="A49" t="inlineStr">
        <is>
          <t>ATT core (candidate)</t>
        </is>
      </c>
      <c r="B49">
        <f>(Calc!$B$48)+(Calc!$B$20)+INT((Calc!$B$39)*(Calc!$B$3))-INT((Stats!$B$4)*(Calc!$B$3))</f>
        <v/>
      </c>
    </row>
    <row r="50">
      <c r="A50" t="inlineStr">
        <is>
          <t>ATT</t>
        </is>
      </c>
      <c r="B50">
        <f>MAX(1,(Calc!$B$49)+INT((Calc!$B$49)*(Calc!$B$47)/100))</f>
        <v/>
      </c>
    </row>
    <row r="51">
      <c r="A51" t="inlineStr">
        <is>
          <t>ACC</t>
        </is>
      </c>
      <c r="B51">
        <f>(Stats!$B$12)+(Calc!$B$22)+INT((Calc!$B$40)*(Calc!$B$4))-INT((Stats!$B$5)*(Calc!$B$4))</f>
        <v/>
      </c>
    </row>
    <row r="52">
      <c r="A52" t="inlineStr">
        <is>
          <t>Crit rate mod</t>
        </is>
      </c>
      <c r="B52">
        <f>(Stats!$B$14)+(Calc!$B$23)</f>
        <v/>
      </c>
    </row>
    <row r="53">
      <c r="A53" t="inlineStr">
        <is>
          <t>Crit dmg +%</t>
        </is>
      </c>
      <c r="B53">
        <f>(Stats!$B$15)+(Calc!$B$24)</f>
        <v/>
      </c>
    </row>
    <row r="54">
      <c r="A54" t="inlineStr">
        <is>
          <t>Dbl Atk %</t>
        </is>
      </c>
      <c r="B54">
        <f>(Stats!$B$16)+(Calc!$B$25)</f>
        <v/>
      </c>
    </row>
    <row r="55">
      <c r="A55" t="inlineStr">
        <is>
          <t>Trpl Atk %</t>
        </is>
      </c>
      <c r="B55">
        <f>(Stats!$B$17)+(Calc!$B$26)</f>
        <v/>
      </c>
    </row>
    <row r="56">
      <c r="A56" t="inlineStr">
        <is>
          <t>Quad Atk %</t>
        </is>
      </c>
      <c r="B56">
        <f>(Stats!$B$18)+(Calc!$B$27)</f>
        <v/>
      </c>
    </row>
    <row r="57">
      <c r="A57" t="inlineStr">
        <is>
          <t>Haste-Gear</t>
        </is>
      </c>
      <c r="B57">
        <f>(Stats!$B$19)+(Calc!$B$28)</f>
        <v/>
      </c>
    </row>
    <row r="58">
      <c r="A58" t="inlineStr">
        <is>
          <t>Haste-Magic</t>
        </is>
      </c>
      <c r="B58">
        <f>(Stats!$B$20)+(Calc!$B$29)</f>
        <v/>
      </c>
    </row>
    <row r="59">
      <c r="A59" t="inlineStr">
        <is>
          <t>Haste-Ability</t>
        </is>
      </c>
      <c r="B59">
        <f>(Stats!$B$21)+(Calc!$B$30)</f>
        <v/>
      </c>
    </row>
    <row r="60">
      <c r="A60" t="inlineStr">
        <is>
          <t>Dual Wield %</t>
        </is>
      </c>
      <c r="B60">
        <f>(Stats!$B$22)+(Calc!$B$31)</f>
        <v/>
      </c>
    </row>
    <row r="61">
      <c r="A61" t="inlineStr">
        <is>
          <t>Store TP</t>
        </is>
      </c>
      <c r="B61">
        <f>(Stats!$B$23)+(Calc!$B$32)</f>
        <v/>
      </c>
    </row>
    <row r="62">
      <c r="A62" t="inlineStr">
        <is>
          <t>TP Bonus</t>
        </is>
      </c>
      <c r="B62">
        <f>(Stats!$B$24)+(Calc!$B$33)</f>
        <v/>
      </c>
    </row>
    <row r="63">
      <c r="A63" t="inlineStr">
        <is>
          <t>WS dmg all %</t>
        </is>
      </c>
      <c r="B63">
        <f>(Stats!$B$25)+(Calc!$B$34)</f>
        <v/>
      </c>
    </row>
    <row r="64">
      <c r="A64" t="inlineStr">
        <is>
          <t>WS dmg 1st %</t>
        </is>
      </c>
      <c r="B64">
        <f>(Stats!$B$26)+(Calc!$B$35)</f>
        <v/>
      </c>
    </row>
    <row r="65">
      <c r="A65" t="inlineStr">
        <is>
          <t>gear fTP (ANY_FTP/256)</t>
        </is>
      </c>
      <c r="B65">
        <f>((Calc!$B$10)+(GearCalc!$AA$16))/256</f>
        <v/>
      </c>
    </row>
    <row r="66">
      <c r="A66" t="inlineStr">
        <is>
          <t>WSACC</t>
        </is>
      </c>
      <c r="B66">
        <f>(Calc!$B$11)+(GearCalc!$AB$16)</f>
        <v/>
      </c>
    </row>
    <row r="67">
      <c r="A67" t="inlineStr">
        <is>
          <t>weapon dmg</t>
        </is>
      </c>
      <c r="B67">
        <f>(Stats!$B$13)</f>
        <v/>
      </c>
    </row>
    <row r="68">
      <c r="A68" t="inlineStr">
        <is>
          <t>weapon dmg-for-rank</t>
        </is>
      </c>
      <c r="B68" t="n">
        <v>181</v>
      </c>
    </row>
    <row r="69">
      <c r="A69" s="11" t="inlineStr">
        <is>
          <t>Target (selected)</t>
        </is>
      </c>
      <c r="B69" s="12" t="n"/>
    </row>
    <row r="70">
      <c r="A70" t="inlineStr">
        <is>
          <t>target row</t>
        </is>
      </c>
      <c r="B70">
        <f>MATCH(Build!$B$4,list_targets,0)</f>
        <v/>
      </c>
    </row>
    <row r="71">
      <c r="A71" t="inlineStr">
        <is>
          <t>tgt_def</t>
        </is>
      </c>
      <c r="B71">
        <f>INDEX(Targets!$B$2:$B$16,Calc!$B$70)</f>
        <v/>
      </c>
    </row>
    <row r="72">
      <c r="A72" t="inlineStr">
        <is>
          <t>tgt_eva</t>
        </is>
      </c>
      <c r="B72">
        <f>INDEX(Targets!$C$2:$C$16,Calc!$B$70)</f>
        <v/>
      </c>
    </row>
    <row r="73">
      <c r="A73" t="inlineStr">
        <is>
          <t>tgt_vit</t>
        </is>
      </c>
      <c r="B73">
        <f>INDEX(Targets!$D$2:$D$16,Calc!$B$70)</f>
        <v/>
      </c>
    </row>
    <row r="74">
      <c r="A74" t="inlineStr">
        <is>
          <t>tgt_agi</t>
        </is>
      </c>
      <c r="B74">
        <f>INDEX(Targets!$E$2:$E$16,Calc!$B$70)</f>
        <v/>
      </c>
    </row>
    <row r="75">
      <c r="A75" t="inlineStr">
        <is>
          <t>tgt_crit_eva</t>
        </is>
      </c>
      <c r="B75">
        <f>INDEX(Targets!$F$2:$F$16,Calc!$B$70)</f>
        <v/>
      </c>
    </row>
    <row r="76">
      <c r="A76" t="inlineStr">
        <is>
          <t>tgt_crit_def</t>
        </is>
      </c>
      <c r="B76">
        <f>INDEX(Targets!$G$2:$G$16,Calc!$B$70)</f>
        <v/>
      </c>
    </row>
    <row r="77">
      <c r="A77" s="11" t="inlineStr">
        <is>
          <t>Weaponskill (selected)</t>
        </is>
      </c>
      <c r="B77" s="12" t="n"/>
    </row>
    <row r="78">
      <c r="A78" t="inlineStr">
        <is>
          <t>ws row</t>
        </is>
      </c>
      <c r="B78">
        <f>MATCH(Build!$B$5,list_ws,0)</f>
        <v/>
      </c>
    </row>
    <row r="79">
      <c r="A79" t="inlineStr">
        <is>
          <t>ws_numhits</t>
        </is>
      </c>
      <c r="B79">
        <f>INDEX(WSDB!$B$2:$B$13,Calc!$B$78)</f>
        <v/>
      </c>
    </row>
    <row r="80">
      <c r="A80" t="inlineStr">
        <is>
          <t>ws_ftp1</t>
        </is>
      </c>
      <c r="B80">
        <f>INDEX(WSDB!$C$2:$C$13,Calc!$B$78)</f>
        <v/>
      </c>
    </row>
    <row r="81">
      <c r="A81" t="inlineStr">
        <is>
          <t>ws_ftp2</t>
        </is>
      </c>
      <c r="B81">
        <f>INDEX(WSDB!$D$2:$D$13,Calc!$B$78)</f>
        <v/>
      </c>
    </row>
    <row r="82">
      <c r="A82" t="inlineStr">
        <is>
          <t>ws_ftp3</t>
        </is>
      </c>
      <c r="B82">
        <f>INDEX(WSDB!$E$2:$E$13,Calc!$B$78)</f>
        <v/>
      </c>
    </row>
    <row r="83">
      <c r="A83" t="inlineStr">
        <is>
          <t>ws_wsc_STR</t>
        </is>
      </c>
      <c r="B83">
        <f>INDEX(WSDB!$F$2:$F$13,Calc!$B$78)</f>
        <v/>
      </c>
    </row>
    <row r="84">
      <c r="A84" t="inlineStr">
        <is>
          <t>ws_wsc_DEX</t>
        </is>
      </c>
      <c r="B84">
        <f>INDEX(WSDB!$G$2:$G$13,Calc!$B$78)</f>
        <v/>
      </c>
    </row>
    <row r="85">
      <c r="A85" t="inlineStr">
        <is>
          <t>ws_wsc_VIT</t>
        </is>
      </c>
      <c r="B85">
        <f>INDEX(WSDB!$H$2:$H$13,Calc!$B$78)</f>
        <v/>
      </c>
    </row>
    <row r="86">
      <c r="A86" t="inlineStr">
        <is>
          <t>ws_wsc_AGI</t>
        </is>
      </c>
      <c r="B86">
        <f>INDEX(WSDB!$I$2:$I$13,Calc!$B$78)</f>
        <v/>
      </c>
    </row>
    <row r="87">
      <c r="A87" t="inlineStr">
        <is>
          <t>ws_wsc_INT</t>
        </is>
      </c>
      <c r="B87">
        <f>INDEX(WSDB!$J$2:$J$13,Calc!$B$78)</f>
        <v/>
      </c>
    </row>
    <row r="88">
      <c r="A88" t="inlineStr">
        <is>
          <t>ws_wsc_MND</t>
        </is>
      </c>
      <c r="B88">
        <f>INDEX(WSDB!$K$2:$K$13,Calc!$B$78)</f>
        <v/>
      </c>
    </row>
    <row r="89">
      <c r="A89" t="inlineStr">
        <is>
          <t>ws_wsc_CHR</t>
        </is>
      </c>
      <c r="B89">
        <f>INDEX(WSDB!$L$2:$L$13,Calc!$B$78)</f>
        <v/>
      </c>
    </row>
    <row r="90">
      <c r="A90" t="inlineStr">
        <is>
          <t>ws_atk1</t>
        </is>
      </c>
      <c r="B90">
        <f>INDEX(WSDB!$M$2:$M$13,Calc!$B$78)</f>
        <v/>
      </c>
    </row>
    <row r="91">
      <c r="A91" t="inlineStr">
        <is>
          <t>ws_atk2</t>
        </is>
      </c>
      <c r="B91">
        <f>INDEX(WSDB!$N$2:$N$13,Calc!$B$78)</f>
        <v/>
      </c>
    </row>
    <row r="92">
      <c r="A92" t="inlineStr">
        <is>
          <t>ws_atk3</t>
        </is>
      </c>
      <c r="B92">
        <f>INDEX(WSDB!$O$2:$O$13,Calc!$B$78)</f>
        <v/>
      </c>
    </row>
    <row r="93">
      <c r="A93" t="inlineStr">
        <is>
          <t>ws_ign1</t>
        </is>
      </c>
      <c r="B93">
        <f>INDEX(WSDB!$P$2:$P$13,Calc!$B$78)</f>
        <v/>
      </c>
    </row>
    <row r="94">
      <c r="A94" t="inlineStr">
        <is>
          <t>ws_ign2</t>
        </is>
      </c>
      <c r="B94">
        <f>INDEX(WSDB!$Q$2:$Q$13,Calc!$B$78)</f>
        <v/>
      </c>
    </row>
    <row r="95">
      <c r="A95" t="inlineStr">
        <is>
          <t>ws_ign3</t>
        </is>
      </c>
      <c r="B95">
        <f>INDEX(WSDB!$R$2:$R$13,Calc!$B$78)</f>
        <v/>
      </c>
    </row>
    <row r="96">
      <c r="A96" t="inlineStr">
        <is>
          <t>ws_has_ign</t>
        </is>
      </c>
      <c r="B96">
        <f>INDEX(WSDB!$S$2:$S$13,Calc!$B$78)</f>
        <v/>
      </c>
    </row>
    <row r="97">
      <c r="A97" t="inlineStr">
        <is>
          <t>ws_crit1</t>
        </is>
      </c>
      <c r="B97">
        <f>INDEX(WSDB!$T$2:$T$13,Calc!$B$78)</f>
        <v/>
      </c>
    </row>
    <row r="98">
      <c r="A98" t="inlineStr">
        <is>
          <t>ws_crit2</t>
        </is>
      </c>
      <c r="B98">
        <f>INDEX(WSDB!$U$2:$U$13,Calc!$B$78)</f>
        <v/>
      </c>
    </row>
    <row r="99">
      <c r="A99" t="inlineStr">
        <is>
          <t>ws_crit3</t>
        </is>
      </c>
      <c r="B99">
        <f>INDEX(WSDB!$V$2:$V$13,Calc!$B$78)</f>
        <v/>
      </c>
    </row>
    <row r="100">
      <c r="A100" t="inlineStr">
        <is>
          <t>ws_has_crit</t>
        </is>
      </c>
      <c r="B100">
        <f>INDEX(WSDB!$W$2:$W$13,Calc!$B$78)</f>
        <v/>
      </c>
    </row>
    <row r="101">
      <c r="A101" t="inlineStr">
        <is>
          <t>ws_multi_ftp</t>
        </is>
      </c>
      <c r="B101">
        <f>INDEX(WSDB!$X$2:$X$13,Calc!$B$78)</f>
        <v/>
      </c>
    </row>
    <row r="102">
      <c r="A102" t="inlineStr">
        <is>
          <t>ws_id_sel</t>
        </is>
      </c>
      <c r="B102">
        <f>INDEX(WSDB!$Y$2:$Y$13,Calc!$B$78)</f>
        <v/>
      </c>
    </row>
    <row r="103">
      <c r="A103" t="inlineStr">
        <is>
          <t>per-WS WS dmg %</t>
        </is>
      </c>
      <c r="B103">
        <f>IF((Calc!$B$102)=225,(0)+(GearCalc!$AC$16),0)</f>
        <v/>
      </c>
    </row>
    <row r="104">
      <c r="A104" s="11" t="inlineStr">
        <is>
          <t>Shared terms</t>
        </is>
      </c>
      <c r="B104" s="12" t="n"/>
    </row>
    <row r="105">
      <c r="A105" t="inlineStr">
        <is>
          <t>STR-VIT</t>
        </is>
      </c>
      <c r="B105">
        <f>MAX((-94),MIN((108),(Calc!$B$39)-(Calc!$B$73)))</f>
        <v/>
      </c>
    </row>
    <row r="106">
      <c r="A106" t="inlineStr">
        <is>
          <t>fSTR bracket</t>
        </is>
      </c>
      <c r="B106">
        <f>IF(Calc!$B$105&gt;=12,4,IF(Calc!$B$105&gt;=6,6,IF(Calc!$B$105&gt;=1,7,IF(Calc!$B$105&gt;=-2,8,IF(Calc!$B$105&gt;=-7,9,IF(Calc!$B$105&gt;=-15,10,IF(Calc!$B$105&gt;=-21,12,13)))))))</f>
        <v/>
      </c>
    </row>
    <row r="107">
      <c r="A107" t="inlineStr">
        <is>
          <t>fSTR</t>
        </is>
      </c>
      <c r="B107">
        <f>MAX(-20,MIN(28,((Calc!$B$105)+(Calc!$B$106))/4))</f>
        <v/>
      </c>
    </row>
    <row r="108">
      <c r="A108" t="inlineStr">
        <is>
          <t>QA frac</t>
        </is>
      </c>
      <c r="B108">
        <f>MIN(MAX((Calc!$B$56),0),100)/100</f>
        <v/>
      </c>
    </row>
    <row r="109">
      <c r="A109" t="inlineStr">
        <is>
          <t>TA frac</t>
        </is>
      </c>
      <c r="B109">
        <f>MIN(MAX((Calc!$B$55),0),100)/100</f>
        <v/>
      </c>
    </row>
    <row r="110">
      <c r="A110" t="inlineStr">
        <is>
          <t>DA frac</t>
        </is>
      </c>
      <c r="B110">
        <f>MIN(MAX((Calc!$B$54),0),100)/100</f>
        <v/>
      </c>
    </row>
    <row r="111">
      <c r="A111" t="inlineStr">
        <is>
          <t>hits/swing</t>
        </is>
      </c>
      <c r="B111">
        <f>1+(Calc!$B$108)*3+(1-(Calc!$B$108))*(Calc!$B$109)*2+(1-(Calc!$B$108))*(1-(Calc!$B$109))*(Calc!$B$110)</f>
        <v/>
      </c>
    </row>
    <row r="112">
      <c r="A112" t="inlineStr">
        <is>
          <t>extra hits/roll</t>
        </is>
      </c>
      <c r="B112">
        <f>(Calc!$B$111)-1</f>
        <v/>
      </c>
    </row>
    <row r="113">
      <c r="A113" t="inlineStr">
        <is>
          <t>P(multi proc)</t>
        </is>
      </c>
      <c r="B113">
        <f>1-(1-(Calc!$B$108))*(1-(Calc!$B$109))*(1-(Calc!$B$110))</f>
        <v/>
      </c>
    </row>
    <row r="114">
      <c r="A114" t="inlineStr">
        <is>
          <t>DEX-AGI</t>
        </is>
      </c>
      <c r="B114">
        <f>(Calc!$B$40)-(Calc!$B$74)</f>
        <v/>
      </c>
    </row>
    <row r="115">
      <c r="A115" t="inlineStr">
        <is>
          <t>crit stat bonus</t>
        </is>
      </c>
      <c r="B115">
        <f>IF(Calc!$B$114&gt;50,0.15,IF(Calc!$B$114&gt;=40,(Calc!$B$114-35)/100,IF(Calc!$B$114&gt;=30,0.04,IF(Calc!$B$114&gt;=20,0.03,IF(Calc!$B$114&gt;=14,0.02,IF(Calc!$B$114&gt;=7,0.01,0))))))</f>
        <v/>
      </c>
    </row>
    <row r="116">
      <c r="A116" t="inlineStr">
        <is>
          <t>crit dmg mult</t>
        </is>
      </c>
      <c r="B116">
        <f>(100+MAX(0,MIN(100,(Calc!$B$53)-(Calc!$B$76))))/100</f>
        <v/>
      </c>
    </row>
    <row r="117">
      <c r="A117" t="inlineStr">
        <is>
          <t>swing crit</t>
        </is>
      </c>
      <c r="B117">
        <f>MAX(0.05,MIN(1,0.05+(Calc!$B$115)+(Calc!$B$52)/100-(Calc!$B$75)/100))</f>
        <v/>
      </c>
    </row>
    <row r="118">
      <c r="A118" s="11" t="inlineStr">
        <is>
          <t>Auto-attack</t>
        </is>
      </c>
      <c r="B118" s="12" t="n"/>
    </row>
    <row r="119">
      <c r="A119" t="inlineStr">
        <is>
          <t>auto actor ATT</t>
        </is>
      </c>
      <c r="B119">
        <f>MAX(1,INT(Calc!$B$50*(1)))</f>
        <v/>
      </c>
    </row>
    <row r="120">
      <c r="A120" t="inlineStr">
        <is>
          <t>auto eff DEF</t>
        </is>
      </c>
      <c r="B120">
        <f>MAX(1,INT(Calc!$B$71*(1-(0))))</f>
        <v/>
      </c>
    </row>
    <row r="121">
      <c r="A121" t="inlineStr">
        <is>
          <t>auto base ratio</t>
        </is>
      </c>
      <c r="B121">
        <f>(Calc!$B$119)/(Calc!$B$120)</f>
        <v/>
      </c>
    </row>
    <row r="122">
      <c r="A122" t="inlineStr">
        <is>
          <t>auto non wRatio</t>
        </is>
      </c>
      <c r="B122">
        <f>(Calc!$B$121)+0</f>
        <v/>
      </c>
    </row>
    <row r="123">
      <c r="A123" t="inlineStr">
        <is>
          <t>auto non cap</t>
        </is>
      </c>
      <c r="B123">
        <f>3.25+0</f>
        <v/>
      </c>
    </row>
    <row r="124">
      <c r="A124" t="inlineStr">
        <is>
          <t>auto non spike</t>
        </is>
      </c>
      <c r="B124">
        <f>IF(AND(Calc!$B$122&gt;0.5,Calc!$B$122&lt;1.5),MAX(0,MIN(1/3,(0.5-ABS(Calc!$B$122-1))*1.2)),0)</f>
        <v/>
      </c>
    </row>
    <row r="125">
      <c r="A125" t="inlineStr">
        <is>
          <t>auto non up</t>
        </is>
      </c>
      <c r="B125">
        <f>IF(Calc!$B$122&lt;0.5,Calc!$B$122+0.5,IF(Calc!$B$122&lt;0.7,1,IF(Calc!$B$122&lt;1.2,Calc!$B$122+0.3,IF(Calc!$B$122&lt;1.5,Calc!$B$122*1.25,MIN(Calc!$B$122+0.375,Calc!$B$123)))))</f>
        <v/>
      </c>
    </row>
    <row r="126">
      <c r="A126" t="inlineStr">
        <is>
          <t>auto non lo</t>
        </is>
      </c>
      <c r="B126">
        <f>MAX(0,IF(Calc!$B$122&lt;0.38,0,IF(Calc!$B$122&lt;1.25,Calc!$B$122*1176/1024-448/1024,IF(Calc!$B$122&lt;1.51,1,IF(Calc!$B$122&lt;2.44,Calc!$B$122*1176/1024-775/1024,MIN(Calc!$B$122-0.375,Calc!$B$123))))))</f>
        <v/>
      </c>
    </row>
    <row r="127">
      <c r="A127" t="inlineStr">
        <is>
          <t>auto non ev</t>
        </is>
      </c>
      <c r="B127">
        <f>((Calc!$B$126)+(Calc!$B$125))/2*1.025</f>
        <v/>
      </c>
    </row>
    <row r="128">
      <c r="A128" t="inlineStr">
        <is>
          <t>auto non branch</t>
        </is>
      </c>
      <c r="B128">
        <f>(Calc!$B$124)*1+(1-(Calc!$B$124))*(Calc!$B$127)</f>
        <v/>
      </c>
    </row>
    <row r="129">
      <c r="A129" t="inlineStr">
        <is>
          <t>auto crit wRatio</t>
        </is>
      </c>
      <c r="B129">
        <f>(Calc!$B$121)+1</f>
        <v/>
      </c>
    </row>
    <row r="130">
      <c r="A130" t="inlineStr">
        <is>
          <t>auto crit cap</t>
        </is>
      </c>
      <c r="B130">
        <f>3.25+1</f>
        <v/>
      </c>
    </row>
    <row r="131">
      <c r="A131" t="inlineStr">
        <is>
          <t>auto crit spike</t>
        </is>
      </c>
      <c r="B131">
        <f>IF(AND(Calc!$B$129&gt;0.5,Calc!$B$129&lt;1.5),MAX(0,MIN(1/3,(0.5-ABS(Calc!$B$129-1))*1.2)),0)</f>
        <v/>
      </c>
    </row>
    <row r="132">
      <c r="A132" t="inlineStr">
        <is>
          <t>auto crit up</t>
        </is>
      </c>
      <c r="B132">
        <f>IF(Calc!$B$129&lt;0.5,Calc!$B$129+0.5,IF(Calc!$B$129&lt;0.7,1,IF(Calc!$B$129&lt;1.2,Calc!$B$129+0.3,IF(Calc!$B$129&lt;1.5,Calc!$B$129*1.25,MIN(Calc!$B$129+0.375,Calc!$B$130)))))</f>
        <v/>
      </c>
    </row>
    <row r="133">
      <c r="A133" t="inlineStr">
        <is>
          <t>auto crit lo</t>
        </is>
      </c>
      <c r="B133">
        <f>MAX(0,IF(Calc!$B$129&lt;0.38,0,IF(Calc!$B$129&lt;1.25,Calc!$B$129*1176/1024-448/1024,IF(Calc!$B$129&lt;1.51,1,IF(Calc!$B$129&lt;2.44,Calc!$B$129*1176/1024-775/1024,MIN(Calc!$B$129-0.375,Calc!$B$130))))))</f>
        <v/>
      </c>
    </row>
    <row r="134">
      <c r="A134" t="inlineStr">
        <is>
          <t>auto crit ev</t>
        </is>
      </c>
      <c r="B134">
        <f>((Calc!$B$133)+(Calc!$B$132))/2*1.025</f>
        <v/>
      </c>
    </row>
    <row r="135">
      <c r="A135" t="inlineStr">
        <is>
          <t>auto crit branch</t>
        </is>
      </c>
      <c r="B135">
        <f>(Calc!$B$131)*1+(1-(Calc!$B$131))*(Calc!$B$134)*(Calc!$B$116)</f>
        <v/>
      </c>
    </row>
    <row r="136">
      <c r="A136" t="inlineStr">
        <is>
          <t>auto pDIF EV</t>
        </is>
      </c>
      <c r="B136">
        <f>(1-(Calc!$B$117))*(Calc!$B$128)+(Calc!$B$117)*(Calc!$B$135)</f>
        <v/>
      </c>
    </row>
    <row r="137">
      <c r="A137" t="inlineStr">
        <is>
          <t>hit rate</t>
        </is>
      </c>
      <c r="B137">
        <f>MAX(0.2,MIN(0.99,(75+((Calc!$B$51)-Calc!$B$72)/2)/100))</f>
        <v/>
      </c>
    </row>
    <row r="138">
      <c r="A138" t="inlineStr">
        <is>
          <t>main hit dmg</t>
        </is>
      </c>
      <c r="B138">
        <f>((Calc!$B$67)+(Calc!$B$107))*(Calc!$B$136)</f>
        <v/>
      </c>
    </row>
    <row r="139">
      <c r="A139" t="inlineStr">
        <is>
          <t>dmg/round</t>
        </is>
      </c>
      <c r="B139">
        <f>(Calc!$B$111)*(Calc!$B$137)*(Calc!$B$138)</f>
        <v/>
      </c>
    </row>
    <row r="140">
      <c r="A140" t="inlineStr">
        <is>
          <t>haste-magic clamp</t>
        </is>
      </c>
      <c r="B140">
        <f>MAX(-1,MIN(0.4375,(Calc!$B$58)/10000))</f>
        <v/>
      </c>
    </row>
    <row r="141">
      <c r="A141" t="inlineStr">
        <is>
          <t>haste-ability clamp</t>
        </is>
      </c>
      <c r="B141">
        <f>MAX(-0.25,MIN(0.25,(Calc!$B$59)/10000))</f>
        <v/>
      </c>
    </row>
    <row r="142">
      <c r="A142" t="inlineStr">
        <is>
          <t>haste-gear clamp</t>
        </is>
      </c>
      <c r="B142">
        <f>MAX(-0.25,MIN(0.25,(Calc!$B$57)/10000))</f>
        <v/>
      </c>
    </row>
    <row r="143">
      <c r="A143" t="inlineStr">
        <is>
          <t>haste mult</t>
        </is>
      </c>
      <c r="B143">
        <f>MAX(0.2,MIN(2,1-(Calc!$B$140)-(Calc!$B$141)-(Calc!$B$142)))</f>
        <v/>
      </c>
    </row>
    <row r="144">
      <c r="A144" t="inlineStr">
        <is>
          <t>swing interval ms</t>
        </is>
      </c>
      <c r="B144">
        <f>MAX(3883.3333333333335*0.2,MIN(3883.3333333333335*2,3883.3333333333335*(Calc!$B$143)))</f>
        <v/>
      </c>
    </row>
    <row r="145">
      <c r="A145" t="inlineStr">
        <is>
          <t>AUTO DPS</t>
        </is>
      </c>
      <c r="B145">
        <f>(Calc!$B$139)/((Calc!$B$144)/1000)</f>
        <v/>
      </c>
    </row>
    <row r="146">
      <c r="A146" t="inlineStr">
        <is>
          <t>TP/hit</t>
        </is>
      </c>
      <c r="B146">
        <f>73.95555555555555*(1+(Calc!$B$61)/100)</f>
        <v/>
      </c>
    </row>
    <row r="147">
      <c r="A147" t="inlineStr">
        <is>
          <t>TP/round</t>
        </is>
      </c>
      <c r="B147">
        <f>(Calc!$B$111)*(Calc!$B$137)*(Calc!$B$146)</f>
        <v/>
      </c>
    </row>
    <row r="148">
      <c r="A148" s="11" t="inlineStr">
        <is>
          <t>Weaponskill</t>
        </is>
      </c>
      <c r="B148" s="12" t="n"/>
    </row>
    <row r="149">
      <c r="A149" t="inlineStr">
        <is>
          <t>TP used</t>
        </is>
      </c>
      <c r="B149">
        <f>MAX(0,MIN(3000,Build!$B$6+(Calc!$B$62)))</f>
        <v/>
      </c>
    </row>
    <row r="150">
      <c r="A150" t="inlineStr">
        <is>
          <t>WSC</t>
        </is>
      </c>
      <c r="B150">
        <f>INT((Calc!$B$39)*(Calc!$B$83))+INT((Calc!$B$40)*(Calc!$B$84))+INT((Calc!$B$41)*(Calc!$B$85))+INT((Calc!$B$42)*(Calc!$B$86))+INT((Calc!$B$43)*(Calc!$B$87))+INT((Calc!$B$44)*(Calc!$B$88))+INT((Calc!$B$45)*(Calc!$B$89))</f>
        <v/>
      </c>
    </row>
    <row r="151">
      <c r="A151" t="inlineStr">
        <is>
          <t>WS per-hit base</t>
        </is>
      </c>
      <c r="B151">
        <f>INT((Calc!$B$67)+(Calc!$B$107)+(Calc!$B$150))</f>
        <v/>
      </c>
    </row>
    <row r="152">
      <c r="A152" t="inlineStr">
        <is>
          <t>fTP first</t>
        </is>
      </c>
      <c r="B152">
        <f>IF(Calc!$B$149&lt;1000,1,IF(Calc!$B$149&gt;=2000,Calc!$B$81+(Calc!$B$149-2000)*(Calc!$B$82-Calc!$B$81)/1000,Calc!$B$80+(Calc!$B$149-1000)*(Calc!$B$81-Calc!$B$80)/1000))+(Calc!$B$65)</f>
        <v/>
      </c>
    </row>
    <row r="153">
      <c r="A153" t="inlineStr">
        <is>
          <t>fTP rest</t>
        </is>
      </c>
      <c r="B153">
        <f>IF((Calc!$B$101)=1,(Calc!$B$152),1)</f>
        <v/>
      </c>
    </row>
    <row r="154">
      <c r="A154" t="inlineStr">
        <is>
          <t>WS acc bonus</t>
        </is>
      </c>
      <c r="B154">
        <f>CEILING((Calc!$B$65)*100,1)+(Calc!$B$66)</f>
        <v/>
      </c>
    </row>
    <row r="155">
      <c r="A155" t="inlineStr">
        <is>
          <t>WS atk mult</t>
        </is>
      </c>
      <c r="B155">
        <f>IF(Calc!$B$149&lt;1000,1,IF(Calc!$B$149&gt;=2000,Calc!$B$91+(Calc!$B$149-2000)*(Calc!$B$92-Calc!$B$91)/1000,Calc!$B$90+(Calc!$B$149-1000)*(Calc!$B$91-Calc!$B$90)/1000))</f>
        <v/>
      </c>
    </row>
    <row r="156">
      <c r="A156" t="inlineStr">
        <is>
          <t>WS def ignored</t>
        </is>
      </c>
      <c r="B156">
        <f>IF((Calc!$B$96)=1,IF(Calc!$B$149&lt;1000,1,IF(Calc!$B$149&gt;=2000,Calc!$B$94+(Calc!$B$149-2000)*(Calc!$B$95-Calc!$B$94)/1000,Calc!$B$93+(Calc!$B$149-1000)*(Calc!$B$94-Calc!$B$93)/1000)),0)</f>
        <v/>
      </c>
    </row>
    <row r="157">
      <c r="A157" t="inlineStr">
        <is>
          <t>WS crit fTP</t>
        </is>
      </c>
      <c r="B157">
        <f>IF(Calc!$B$149&lt;1000,1,IF(Calc!$B$149&gt;=2000,Calc!$B$98+(Calc!$B$149-2000)*(Calc!$B$99-Calc!$B$98)/1000,Calc!$B$97+(Calc!$B$149-1000)*(Calc!$B$98-Calc!$B$97)/1000))</f>
        <v/>
      </c>
    </row>
    <row r="158">
      <c r="A158" t="inlineStr">
        <is>
          <t>WS crit rate</t>
        </is>
      </c>
      <c r="B158">
        <f>IF((Calc!$B$100)=1,MAX(0.05,MIN(1,0.05+(Calc!$B$115)+(Calc!$B$52)/100+(Calc!$B$157)-(Calc!$B$75)/100)),0)</f>
        <v/>
      </c>
    </row>
    <row r="159">
      <c r="A159" t="inlineStr">
        <is>
          <t>ws actor ATT</t>
        </is>
      </c>
      <c r="B159">
        <f>MAX(1,INT(Calc!$B$50*(Calc!$B$155)))</f>
        <v/>
      </c>
    </row>
    <row r="160">
      <c r="A160" t="inlineStr">
        <is>
          <t>ws eff DEF</t>
        </is>
      </c>
      <c r="B160">
        <f>MAX(1,INT(Calc!$B$71*(1-(Calc!$B$156))))</f>
        <v/>
      </c>
    </row>
    <row r="161">
      <c r="A161" t="inlineStr">
        <is>
          <t>ws base ratio</t>
        </is>
      </c>
      <c r="B161">
        <f>(Calc!$B$159)/(Calc!$B$160)</f>
        <v/>
      </c>
    </row>
    <row r="162">
      <c r="A162" t="inlineStr">
        <is>
          <t>ws non wRatio</t>
        </is>
      </c>
      <c r="B162">
        <f>(Calc!$B$161)+0</f>
        <v/>
      </c>
    </row>
    <row r="163">
      <c r="A163" t="inlineStr">
        <is>
          <t>ws non cap</t>
        </is>
      </c>
      <c r="B163">
        <f>3.25+0</f>
        <v/>
      </c>
    </row>
    <row r="164">
      <c r="A164" t="inlineStr">
        <is>
          <t>ws non spike</t>
        </is>
      </c>
      <c r="B164">
        <f>IF(AND(Calc!$B$162&gt;0.5,Calc!$B$162&lt;1.5),MAX(0,MIN(1/3,(0.5-ABS(Calc!$B$162-1))*1.2)),0)</f>
        <v/>
      </c>
    </row>
    <row r="165">
      <c r="A165" t="inlineStr">
        <is>
          <t>ws non up</t>
        </is>
      </c>
      <c r="B165">
        <f>IF(Calc!$B$162&lt;0.5,Calc!$B$162+0.5,IF(Calc!$B$162&lt;0.7,1,IF(Calc!$B$162&lt;1.2,Calc!$B$162+0.3,IF(Calc!$B$162&lt;1.5,Calc!$B$162*1.25,MIN(Calc!$B$162+0.375,Calc!$B$163)))))</f>
        <v/>
      </c>
    </row>
    <row r="166">
      <c r="A166" t="inlineStr">
        <is>
          <t>ws non lo</t>
        </is>
      </c>
      <c r="B166">
        <f>MAX(0,IF(Calc!$B$162&lt;0.38,0,IF(Calc!$B$162&lt;1.25,Calc!$B$162*1176/1024-448/1024,IF(Calc!$B$162&lt;1.51,1,IF(Calc!$B$162&lt;2.44,Calc!$B$162*1176/1024-775/1024,MIN(Calc!$B$162-0.375,Calc!$B$163))))))</f>
        <v/>
      </c>
    </row>
    <row r="167">
      <c r="A167" t="inlineStr">
        <is>
          <t>ws non ev</t>
        </is>
      </c>
      <c r="B167">
        <f>((Calc!$B$166)+(Calc!$B$165))/2*1.025</f>
        <v/>
      </c>
    </row>
    <row r="168">
      <c r="A168" t="inlineStr">
        <is>
          <t>ws non branch</t>
        </is>
      </c>
      <c r="B168">
        <f>(Calc!$B$164)*1+(1-(Calc!$B$164))*(Calc!$B$167)</f>
        <v/>
      </c>
    </row>
    <row r="169">
      <c r="A169" t="inlineStr">
        <is>
          <t>ws crit wRatio</t>
        </is>
      </c>
      <c r="B169">
        <f>(Calc!$B$161)+1</f>
        <v/>
      </c>
    </row>
    <row r="170">
      <c r="A170" t="inlineStr">
        <is>
          <t>ws crit cap</t>
        </is>
      </c>
      <c r="B170">
        <f>3.25+1</f>
        <v/>
      </c>
    </row>
    <row r="171">
      <c r="A171" t="inlineStr">
        <is>
          <t>ws crit spike</t>
        </is>
      </c>
      <c r="B171">
        <f>IF(AND(Calc!$B$169&gt;0.5,Calc!$B$169&lt;1.5),MAX(0,MIN(1/3,(0.5-ABS(Calc!$B$169-1))*1.2)),0)</f>
        <v/>
      </c>
    </row>
    <row r="172">
      <c r="A172" t="inlineStr">
        <is>
          <t>ws crit up</t>
        </is>
      </c>
      <c r="B172">
        <f>IF(Calc!$B$169&lt;0.5,Calc!$B$169+0.5,IF(Calc!$B$169&lt;0.7,1,IF(Calc!$B$169&lt;1.2,Calc!$B$169+0.3,IF(Calc!$B$169&lt;1.5,Calc!$B$169*1.25,MIN(Calc!$B$169+0.375,Calc!$B$170)))))</f>
        <v/>
      </c>
    </row>
    <row r="173">
      <c r="A173" t="inlineStr">
        <is>
          <t>ws crit lo</t>
        </is>
      </c>
      <c r="B173">
        <f>MAX(0,IF(Calc!$B$169&lt;0.38,0,IF(Calc!$B$169&lt;1.25,Calc!$B$169*1176/1024-448/1024,IF(Calc!$B$169&lt;1.51,1,IF(Calc!$B$169&lt;2.44,Calc!$B$169*1176/1024-775/1024,MIN(Calc!$B$169-0.375,Calc!$B$170))))))</f>
        <v/>
      </c>
    </row>
    <row r="174">
      <c r="A174" t="inlineStr">
        <is>
          <t>ws crit ev</t>
        </is>
      </c>
      <c r="B174">
        <f>((Calc!$B$173)+(Calc!$B$172))/2*1.025</f>
        <v/>
      </c>
    </row>
    <row r="175">
      <c r="A175" t="inlineStr">
        <is>
          <t>ws crit branch</t>
        </is>
      </c>
      <c r="B175">
        <f>(Calc!$B$171)*1+(1-(Calc!$B$171))*(Calc!$B$174)*(Calc!$B$116)</f>
        <v/>
      </c>
    </row>
    <row r="176">
      <c r="A176" t="inlineStr">
        <is>
          <t>ws pDIF EV</t>
        </is>
      </c>
      <c r="B176">
        <f>(1-(Calc!$B$158))*(Calc!$B$168)+(Calc!$B$158)*(Calc!$B$175)</f>
        <v/>
      </c>
    </row>
    <row r="177">
      <c r="A177" t="inlineStr">
        <is>
          <t>hit rate (1st)</t>
        </is>
      </c>
      <c r="B177">
        <f>MAX(0.2,MIN(0.99,(75+(((Calc!$B$51)+(Calc!$B$154)+100)-Calc!$B$72)/2)/100))</f>
        <v/>
      </c>
    </row>
    <row r="178">
      <c r="A178" t="inlineStr">
        <is>
          <t>hit rate (WS)</t>
        </is>
      </c>
      <c r="B178">
        <f>MAX(0.2,MIN(0.99,(75+(((Calc!$B$51)+(Calc!$B$154))-Calc!$B$72)/2)/100))</f>
        <v/>
      </c>
    </row>
    <row r="179">
      <c r="A179" t="inlineStr">
        <is>
          <t>first hit dmg</t>
        </is>
      </c>
      <c r="B179">
        <f>(Calc!$B$177)*(Calc!$B$151)*(Calc!$B$152)*(Calc!$B$176)</f>
        <v/>
      </c>
    </row>
    <row r="180">
      <c r="A180" t="inlineStr">
        <is>
          <t>first-hit bonus</t>
        </is>
      </c>
      <c r="B180">
        <f>(Calc!$B$179)*(Calc!$B$64)/100</f>
        <v/>
      </c>
    </row>
    <row r="181">
      <c r="A181" t="inlineStr">
        <is>
          <t>remaining main hits</t>
        </is>
      </c>
      <c r="B181">
        <f>MAX((Calc!$B$79)-1,0)</f>
        <v/>
      </c>
    </row>
    <row r="182">
      <c r="A182" t="inlineStr">
        <is>
          <t>remaining main dmg</t>
        </is>
      </c>
      <c r="B182">
        <f>(Calc!$B$181)*(Calc!$B$178)*(Calc!$B$151)*(Calc!$B$153)*(Calc!$B$176)</f>
        <v/>
      </c>
    </row>
    <row r="183">
      <c r="A183" t="inlineStr">
        <is>
          <t>WS multi extra hits</t>
        </is>
      </c>
      <c r="B183">
        <f>IF(OR((Calc!$B$112)&lt;=0,(Calc!$B$113)&lt;=0.000000001),0,((Calc!$B$112)/(Calc!$B$113))*MIN((Calc!$B$79)*(Calc!$B$113),2))</f>
        <v/>
      </c>
    </row>
    <row r="184">
      <c r="A184" t="inlineStr">
        <is>
          <t>WS multi dmg</t>
        </is>
      </c>
      <c r="B184">
        <f>(Calc!$B$183)*(Calc!$B$178)*(Calc!$B$151)*(Calc!$B$153)*(Calc!$B$176)</f>
        <v/>
      </c>
    </row>
    <row r="185">
      <c r="A185" t="inlineStr">
        <is>
          <t>WS raw</t>
        </is>
      </c>
      <c r="B185">
        <f>(Calc!$B$179)+(Calc!$B$182)+(Calc!$B$184)</f>
        <v/>
      </c>
    </row>
    <row r="186">
      <c r="A186" t="inlineStr">
        <is>
          <t>WS DAMAGE</t>
        </is>
      </c>
      <c r="B186">
        <f>((Calc!$B$185)*(100+(Calc!$B$63)+(Calc!$B$103))/100+(Calc!$B$180))*(Calc!$B$8)</f>
        <v/>
      </c>
    </row>
    <row r="187">
      <c r="A187" s="11" t="inlineStr">
        <is>
          <t>Rotation</t>
        </is>
      </c>
      <c r="B187" s="12" t="n"/>
    </row>
    <row r="188">
      <c r="A188" t="inlineStr">
        <is>
          <t>ROTATION DPS</t>
        </is>
      </c>
      <c r="B188">
        <f>IF(OR((Calc!$B$147)&lt;=0,(Calc!$B$144)&lt;=0),(Calc!$B$145),(Calc!$B$145)+(Calc!$B$186)/((Build!$B$6/(Calc!$B$147))*(Calc!$B$144)/1000))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6" t="inlineStr">
        <is>
          <t>slot</t>
        </is>
      </c>
      <c r="B1" s="6" t="inlineStr">
        <is>
          <t>STR</t>
        </is>
      </c>
      <c r="C1" s="6" t="inlineStr">
        <is>
          <t>DEX</t>
        </is>
      </c>
      <c r="D1" s="6" t="inlineStr">
        <is>
          <t>VIT</t>
        </is>
      </c>
      <c r="E1" s="6" t="inlineStr">
        <is>
          <t>AGI</t>
        </is>
      </c>
      <c r="F1" s="6" t="inlineStr">
        <is>
          <t>INT</t>
        </is>
      </c>
      <c r="G1" s="6" t="inlineStr">
        <is>
          <t>MND</t>
        </is>
      </c>
      <c r="H1" s="6" t="inlineStr">
        <is>
          <t>CHR</t>
        </is>
      </c>
      <c r="I1" s="6" t="inlineStr">
        <is>
          <t>ATT</t>
        </is>
      </c>
      <c r="J1" s="6" t="inlineStr">
        <is>
          <t>ATTP</t>
        </is>
      </c>
      <c r="K1" s="6" t="inlineStr">
        <is>
          <t>ACC</t>
        </is>
      </c>
      <c r="L1" s="6" t="inlineStr">
        <is>
          <t>CRITHITRATE</t>
        </is>
      </c>
      <c r="M1" s="6" t="inlineStr">
        <is>
          <t>CRIT_DMG_INCREASE</t>
        </is>
      </c>
      <c r="N1" s="6" t="inlineStr">
        <is>
          <t>DOUBLE_ATTACK</t>
        </is>
      </c>
      <c r="O1" s="6" t="inlineStr">
        <is>
          <t>TRIPLE_ATTACK</t>
        </is>
      </c>
      <c r="P1" s="6" t="inlineStr">
        <is>
          <t>QUAD_ATTACK</t>
        </is>
      </c>
      <c r="Q1" s="6" t="inlineStr">
        <is>
          <t>HASTE_GEAR</t>
        </is>
      </c>
      <c r="R1" s="6" t="inlineStr">
        <is>
          <t>HASTE_MAGIC</t>
        </is>
      </c>
      <c r="S1" s="6" t="inlineStr">
        <is>
          <t>HASTE_ABILITY</t>
        </is>
      </c>
      <c r="T1" s="6" t="inlineStr">
        <is>
          <t>DUAL_WIELD</t>
        </is>
      </c>
      <c r="U1" s="6" t="inlineStr">
        <is>
          <t>STORETP</t>
        </is>
      </c>
      <c r="V1" s="6" t="inlineStr">
        <is>
          <t>TP_BONUS</t>
        </is>
      </c>
      <c r="W1" s="6" t="inlineStr">
        <is>
          <t>ALL_WSDMG_ALL_HITS</t>
        </is>
      </c>
      <c r="X1" s="6" t="inlineStr">
        <is>
          <t>ALL_WSDMG_FIRST_HIT</t>
        </is>
      </c>
      <c r="Y1" s="6" t="inlineStr">
        <is>
          <t>ANY_FTP_BONUS</t>
        </is>
      </c>
      <c r="Z1" s="6" t="inlineStr">
        <is>
          <t>WSACC</t>
        </is>
      </c>
      <c r="AA1" s="6" t="inlineStr">
        <is>
          <t>WSDMG_225</t>
        </is>
      </c>
    </row>
    <row r="2">
      <c r="A2" t="inlineStr">
        <is>
          <t>range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ammo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266</v>
      </c>
      <c r="J3" t="n">
        <v>0</v>
      </c>
      <c r="K3" t="n">
        <v>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head</t>
        </is>
      </c>
      <c r="B4" t="n">
        <v>25</v>
      </c>
      <c r="C4" t="n">
        <v>25</v>
      </c>
      <c r="D4" t="n">
        <v>25</v>
      </c>
      <c r="E4" t="n">
        <v>21</v>
      </c>
      <c r="F4" t="n">
        <v>26</v>
      </c>
      <c r="G4" t="n">
        <v>21</v>
      </c>
      <c r="H4" t="n">
        <v>21</v>
      </c>
      <c r="I4" t="n">
        <v>0</v>
      </c>
      <c r="J4" t="n">
        <v>0</v>
      </c>
      <c r="K4" t="n">
        <v>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body</t>
        </is>
      </c>
      <c r="B5" t="n">
        <v>35</v>
      </c>
      <c r="C5" t="n">
        <v>24</v>
      </c>
      <c r="D5" t="n">
        <v>35</v>
      </c>
      <c r="E5" t="n">
        <v>33</v>
      </c>
      <c r="F5" t="n">
        <v>42</v>
      </c>
      <c r="G5" t="n">
        <v>37</v>
      </c>
      <c r="H5" t="n">
        <v>35</v>
      </c>
      <c r="I5" t="n">
        <v>30</v>
      </c>
      <c r="J5" t="n">
        <v>0</v>
      </c>
      <c r="K5" t="n">
        <v>40</v>
      </c>
      <c r="L5" t="n">
        <v>0</v>
      </c>
      <c r="M5" t="n">
        <v>0</v>
      </c>
      <c r="N5" t="n">
        <v>0</v>
      </c>
      <c r="O5" t="n">
        <v>0</v>
      </c>
      <c r="P5" t="n">
        <v>8</v>
      </c>
      <c r="Q5" t="n">
        <v>300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hands</t>
        </is>
      </c>
      <c r="B6" t="n">
        <v>17</v>
      </c>
      <c r="C6" t="n">
        <v>42</v>
      </c>
      <c r="D6" t="n">
        <v>39</v>
      </c>
      <c r="E6" t="n">
        <v>12</v>
      </c>
      <c r="F6" t="n">
        <v>28</v>
      </c>
      <c r="G6" t="n">
        <v>40</v>
      </c>
      <c r="H6" t="n">
        <v>24</v>
      </c>
      <c r="I6" t="n">
        <v>286</v>
      </c>
      <c r="J6" t="n">
        <v>0</v>
      </c>
      <c r="K6" t="n">
        <v>40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legs</t>
        </is>
      </c>
      <c r="B7" t="n">
        <v>30</v>
      </c>
      <c r="C7" t="n">
        <v>0</v>
      </c>
      <c r="D7" t="n">
        <v>17</v>
      </c>
      <c r="E7" t="n">
        <v>17</v>
      </c>
      <c r="F7" t="n">
        <v>29</v>
      </c>
      <c r="G7" t="n">
        <v>16</v>
      </c>
      <c r="H7" t="n">
        <v>16</v>
      </c>
      <c r="I7" t="n">
        <v>35</v>
      </c>
      <c r="J7" t="n">
        <v>0</v>
      </c>
      <c r="K7" t="n">
        <v>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feet</t>
        </is>
      </c>
      <c r="B8" t="n">
        <v>23</v>
      </c>
      <c r="C8" t="n">
        <v>26</v>
      </c>
      <c r="D8" t="n">
        <v>24</v>
      </c>
      <c r="E8" t="n">
        <v>46</v>
      </c>
      <c r="F8" t="n">
        <v>25</v>
      </c>
      <c r="G8" t="n">
        <v>26</v>
      </c>
      <c r="H8" t="n">
        <v>38</v>
      </c>
      <c r="I8" t="n">
        <v>30</v>
      </c>
      <c r="J8" t="n">
        <v>0</v>
      </c>
      <c r="K8" t="n">
        <v>40</v>
      </c>
      <c r="L8" t="n">
        <v>0</v>
      </c>
      <c r="M8" t="n">
        <v>0</v>
      </c>
      <c r="N8" t="n">
        <v>0</v>
      </c>
      <c r="O8" t="n">
        <v>0</v>
      </c>
      <c r="P8" t="n">
        <v>8</v>
      </c>
      <c r="Q8" t="n">
        <v>300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neck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</v>
      </c>
      <c r="X9" t="n">
        <v>0</v>
      </c>
      <c r="Y9" t="n">
        <v>25</v>
      </c>
      <c r="Z9" t="n">
        <v>0</v>
      </c>
      <c r="AA9" t="n">
        <v>0</v>
      </c>
    </row>
    <row r="10">
      <c r="A10" t="inlineStr">
        <is>
          <t>waist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</v>
      </c>
      <c r="X10" t="n">
        <v>0</v>
      </c>
      <c r="Y10" t="n">
        <v>25</v>
      </c>
      <c r="Z10" t="n">
        <v>0</v>
      </c>
      <c r="AA10" t="n">
        <v>0</v>
      </c>
    </row>
    <row r="11">
      <c r="A11" t="inlineStr">
        <is>
          <t>ear1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40</v>
      </c>
    </row>
    <row r="12">
      <c r="A12" t="inlineStr">
        <is>
          <t>ear2</t>
        </is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ring1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ring2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264</v>
      </c>
      <c r="J14" t="n">
        <v>0</v>
      </c>
      <c r="K14" t="n">
        <v>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back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261</v>
      </c>
      <c r="J15" t="n">
        <v>0</v>
      </c>
      <c r="K15" t="n">
        <v>15</v>
      </c>
      <c r="L15" t="n">
        <v>0</v>
      </c>
      <c r="M15" t="n">
        <v>0</v>
      </c>
      <c r="N15" t="n">
        <v>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s="4" t="inlineStr">
        <is>
          <t>TOTAL</t>
        </is>
      </c>
      <c r="B16" s="4">
        <f>SUM(B2:B15)</f>
        <v/>
      </c>
      <c r="C16" s="4">
        <f>SUM(C2:C15)</f>
        <v/>
      </c>
      <c r="D16" s="4">
        <f>SUM(D2:D15)</f>
        <v/>
      </c>
      <c r="E16" s="4">
        <f>SUM(E2:E15)</f>
        <v/>
      </c>
      <c r="F16" s="4">
        <f>SUM(F2:F15)</f>
        <v/>
      </c>
      <c r="G16" s="4">
        <f>SUM(G2:G15)</f>
        <v/>
      </c>
      <c r="H16" s="4">
        <f>SUM(H2:H15)</f>
        <v/>
      </c>
      <c r="I16" s="4">
        <f>SUM(I2:I15)</f>
        <v/>
      </c>
      <c r="J16" s="4">
        <f>SUM(J2:J15)</f>
        <v/>
      </c>
      <c r="K16" s="4">
        <f>SUM(K2:K15)</f>
        <v/>
      </c>
      <c r="L16" s="4">
        <f>SUM(L2:L15)</f>
        <v/>
      </c>
      <c r="M16" s="4">
        <f>SUM(M2:M15)</f>
        <v/>
      </c>
      <c r="N16" s="4">
        <f>SUM(N2:N15)</f>
        <v/>
      </c>
      <c r="O16" s="4">
        <f>SUM(O2:O15)</f>
        <v/>
      </c>
      <c r="P16" s="4">
        <f>SUM(P2:P15)</f>
        <v/>
      </c>
      <c r="Q16" s="4">
        <f>SUM(Q2:Q15)</f>
        <v/>
      </c>
      <c r="R16" s="4">
        <f>SUM(R2:R15)</f>
        <v/>
      </c>
      <c r="S16" s="4">
        <f>SUM(S2:S15)</f>
        <v/>
      </c>
      <c r="T16" s="4">
        <f>SUM(T2:T15)</f>
        <v/>
      </c>
      <c r="U16" s="4">
        <f>SUM(U2:U15)</f>
        <v/>
      </c>
      <c r="V16" s="4">
        <f>SUM(V2:V15)</f>
        <v/>
      </c>
      <c r="W16" s="4">
        <f>SUM(W2:W15)</f>
        <v/>
      </c>
      <c r="X16" s="4">
        <f>SUM(X2:X15)</f>
        <v/>
      </c>
      <c r="Y16" s="4">
        <f>SUM(Y2:Y15)</f>
        <v/>
      </c>
      <c r="Z16" s="4">
        <f>SUM(Z2:Z15)</f>
        <v/>
      </c>
      <c r="AA16" s="4">
        <f>SUM(AA2:AA15)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888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6" t="inlineStr">
        <is>
          <t>name</t>
        </is>
      </c>
      <c r="B1" s="6" t="inlineStr">
        <is>
          <t>slotmask</t>
        </is>
      </c>
      <c r="C1" s="6" t="inlineStr">
        <is>
          <t>itemId</t>
        </is>
      </c>
      <c r="D1" s="6" t="inlineStr">
        <is>
          <t>STR</t>
        </is>
      </c>
      <c r="E1" s="6" t="inlineStr">
        <is>
          <t>DEX</t>
        </is>
      </c>
      <c r="F1" s="6" t="inlineStr">
        <is>
          <t>VIT</t>
        </is>
      </c>
      <c r="G1" s="6" t="inlineStr">
        <is>
          <t>AGI</t>
        </is>
      </c>
      <c r="H1" s="6" t="inlineStr">
        <is>
          <t>INT</t>
        </is>
      </c>
      <c r="I1" s="6" t="inlineStr">
        <is>
          <t>MND</t>
        </is>
      </c>
      <c r="J1" s="6" t="inlineStr">
        <is>
          <t>CHR</t>
        </is>
      </c>
      <c r="K1" s="6" t="inlineStr">
        <is>
          <t>ATT</t>
        </is>
      </c>
      <c r="L1" s="6" t="inlineStr">
        <is>
          <t>ATTP</t>
        </is>
      </c>
      <c r="M1" s="6" t="inlineStr">
        <is>
          <t>ACC</t>
        </is>
      </c>
      <c r="N1" s="6" t="inlineStr">
        <is>
          <t>CRITHITRATE</t>
        </is>
      </c>
      <c r="O1" s="6" t="inlineStr">
        <is>
          <t>CRIT_DMG_INCREASE</t>
        </is>
      </c>
      <c r="P1" s="6" t="inlineStr">
        <is>
          <t>DOUBLE_ATTACK</t>
        </is>
      </c>
      <c r="Q1" s="6" t="inlineStr">
        <is>
          <t>TRIPLE_ATTACK</t>
        </is>
      </c>
      <c r="R1" s="6" t="inlineStr">
        <is>
          <t>QUAD_ATTACK</t>
        </is>
      </c>
      <c r="S1" s="6" t="inlineStr">
        <is>
          <t>HASTE_GEAR</t>
        </is>
      </c>
      <c r="T1" s="6" t="inlineStr">
        <is>
          <t>HASTE_MAGIC</t>
        </is>
      </c>
      <c r="U1" s="6" t="inlineStr">
        <is>
          <t>HASTE_ABILITY</t>
        </is>
      </c>
      <c r="V1" s="6" t="inlineStr">
        <is>
          <t>DUAL_WIELD</t>
        </is>
      </c>
      <c r="W1" s="6" t="inlineStr">
        <is>
          <t>STORETP</t>
        </is>
      </c>
      <c r="X1" s="6" t="inlineStr">
        <is>
          <t>TP_BONUS</t>
        </is>
      </c>
      <c r="Y1" s="6" t="inlineStr">
        <is>
          <t>ALL_WSDMG_ALL_HITS</t>
        </is>
      </c>
      <c r="Z1" s="6" t="inlineStr">
        <is>
          <t>ALL_WSDMG_FIRST_HIT</t>
        </is>
      </c>
      <c r="AA1" s="6" t="inlineStr">
        <is>
          <t>ANY_FTP_BONUS</t>
        </is>
      </c>
      <c r="AB1" s="6" t="inlineStr">
        <is>
          <t>WSACC</t>
        </is>
      </c>
      <c r="AC1" s="6" t="inlineStr">
        <is>
          <t>WSDMG_225</t>
        </is>
      </c>
    </row>
    <row r="2">
      <c r="A2" t="inlineStr">
        <is>
          <t>abatteur_subligar</t>
        </is>
      </c>
      <c r="B2" t="n">
        <v>128</v>
      </c>
      <c r="C2" t="n">
        <v>28068</v>
      </c>
      <c r="D2" t="n">
        <v>10</v>
      </c>
      <c r="E2" t="n">
        <v>10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</v>
      </c>
      <c r="L2" t="n">
        <v>0</v>
      </c>
      <c r="M2" t="n">
        <v>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abnoba_kaftan</t>
        </is>
      </c>
      <c r="B3" t="n">
        <v>32</v>
      </c>
      <c r="C3" t="n">
        <v>25704</v>
      </c>
      <c r="D3" t="n">
        <v>25</v>
      </c>
      <c r="E3" t="n">
        <v>38</v>
      </c>
      <c r="F3" t="n">
        <v>24</v>
      </c>
      <c r="G3" t="n">
        <v>0</v>
      </c>
      <c r="H3" t="n">
        <v>21</v>
      </c>
      <c r="I3" t="n">
        <v>21</v>
      </c>
      <c r="J3" t="n">
        <v>21</v>
      </c>
      <c r="K3" t="n">
        <v>22</v>
      </c>
      <c r="L3" t="n">
        <v>0</v>
      </c>
      <c r="M3" t="n">
        <v>22</v>
      </c>
      <c r="N3" t="n">
        <v>5</v>
      </c>
      <c r="O3" t="n">
        <v>5</v>
      </c>
      <c r="P3" t="n">
        <v>0</v>
      </c>
      <c r="Q3" t="n">
        <v>0</v>
      </c>
      <c r="R3" t="n">
        <v>0</v>
      </c>
      <c r="S3" t="n">
        <v>400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acerbic_sash_+1</t>
        </is>
      </c>
      <c r="B4" t="n">
        <v>1024</v>
      </c>
      <c r="C4" t="n">
        <v>28435</v>
      </c>
      <c r="D4" t="n">
        <v>-8</v>
      </c>
      <c r="E4" t="n">
        <v>-8</v>
      </c>
      <c r="F4" t="n">
        <v>-8</v>
      </c>
      <c r="G4" t="n">
        <v>-8</v>
      </c>
      <c r="H4" t="n">
        <v>-8</v>
      </c>
      <c r="I4" t="n">
        <v>-8</v>
      </c>
      <c r="J4" t="n">
        <v>-8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acro_breeches</t>
        </is>
      </c>
      <c r="B5" t="n">
        <v>128</v>
      </c>
      <c r="C5" t="n">
        <v>27233</v>
      </c>
      <c r="D5" t="n">
        <v>33</v>
      </c>
      <c r="E5" t="n">
        <v>0</v>
      </c>
      <c r="F5" t="n">
        <v>19</v>
      </c>
      <c r="G5" t="n">
        <v>13</v>
      </c>
      <c r="H5" t="n">
        <v>24</v>
      </c>
      <c r="I5" t="n">
        <v>14</v>
      </c>
      <c r="J5" t="n">
        <v>10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500</v>
      </c>
      <c r="T5" t="n">
        <v>0</v>
      </c>
      <c r="U5" t="n">
        <v>0</v>
      </c>
      <c r="V5" t="n">
        <v>0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acro_gauntlets</t>
        </is>
      </c>
      <c r="B6" t="n">
        <v>64</v>
      </c>
      <c r="C6" t="n">
        <v>27046</v>
      </c>
      <c r="D6" t="n">
        <v>4</v>
      </c>
      <c r="E6" t="n">
        <v>31</v>
      </c>
      <c r="F6" t="n">
        <v>28</v>
      </c>
      <c r="G6" t="n">
        <v>5</v>
      </c>
      <c r="H6" t="n">
        <v>8</v>
      </c>
      <c r="I6" t="n">
        <v>24</v>
      </c>
      <c r="J6" t="n">
        <v>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0</v>
      </c>
      <c r="U6" t="n">
        <v>0</v>
      </c>
      <c r="V6" t="n">
        <v>0</v>
      </c>
      <c r="W6" t="n">
        <v>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acro_helm</t>
        </is>
      </c>
      <c r="B7" t="n">
        <v>16</v>
      </c>
      <c r="C7" t="n">
        <v>26734</v>
      </c>
      <c r="D7" t="n">
        <v>22</v>
      </c>
      <c r="E7" t="n">
        <v>18</v>
      </c>
      <c r="F7" t="n">
        <v>18</v>
      </c>
      <c r="G7" t="n">
        <v>16</v>
      </c>
      <c r="H7" t="n">
        <v>15</v>
      </c>
      <c r="I7" t="n">
        <v>15</v>
      </c>
      <c r="J7" t="n">
        <v>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700</v>
      </c>
      <c r="T7" t="n">
        <v>0</v>
      </c>
      <c r="U7" t="n">
        <v>0</v>
      </c>
      <c r="V7" t="n">
        <v>0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inlineStr">
        <is>
          <t>acro_leggings</t>
        </is>
      </c>
      <c r="B8" t="n">
        <v>256</v>
      </c>
      <c r="C8" t="n">
        <v>27403</v>
      </c>
      <c r="D8" t="n">
        <v>15</v>
      </c>
      <c r="E8" t="n">
        <v>15</v>
      </c>
      <c r="F8" t="n">
        <v>13</v>
      </c>
      <c r="G8" t="n">
        <v>30</v>
      </c>
      <c r="H8" t="n">
        <v>8</v>
      </c>
      <c r="I8" t="n">
        <v>8</v>
      </c>
      <c r="J8" t="n">
        <v>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inlineStr">
        <is>
          <t>acro_surcoat</t>
        </is>
      </c>
      <c r="B9" t="n">
        <v>32</v>
      </c>
      <c r="C9" t="n">
        <v>26892</v>
      </c>
      <c r="D9" t="n">
        <v>25</v>
      </c>
      <c r="E9" t="n">
        <v>20</v>
      </c>
      <c r="F9" t="n">
        <v>24</v>
      </c>
      <c r="G9" t="n">
        <v>19</v>
      </c>
      <c r="H9" t="n">
        <v>19</v>
      </c>
      <c r="I9" t="n">
        <v>19</v>
      </c>
      <c r="J9" t="n">
        <v>19</v>
      </c>
      <c r="K9" t="n">
        <v>10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300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inlineStr">
        <is>
          <t>adhe._gamashes_+1</t>
        </is>
      </c>
      <c r="B10" t="n">
        <v>256</v>
      </c>
      <c r="C10" t="n">
        <v>27474</v>
      </c>
      <c r="D10" t="n">
        <v>15</v>
      </c>
      <c r="E10" t="n">
        <v>23</v>
      </c>
      <c r="F10" t="n">
        <v>8</v>
      </c>
      <c r="G10" t="n">
        <v>42</v>
      </c>
      <c r="H10" t="n">
        <v>0</v>
      </c>
      <c r="I10" t="n">
        <v>11</v>
      </c>
      <c r="J10" t="n">
        <v>25</v>
      </c>
      <c r="K10" t="n">
        <v>34</v>
      </c>
      <c r="L10" t="n">
        <v>0</v>
      </c>
      <c r="M10" t="n">
        <v>0</v>
      </c>
      <c r="N10" t="n">
        <v>4</v>
      </c>
      <c r="O10" t="n">
        <v>0</v>
      </c>
      <c r="P10" t="n">
        <v>0</v>
      </c>
      <c r="Q10" t="n">
        <v>0</v>
      </c>
      <c r="R10" t="n">
        <v>0</v>
      </c>
      <c r="S10" t="n">
        <v>400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inlineStr">
        <is>
          <t>adhemar_bonnet</t>
        </is>
      </c>
      <c r="B11" t="n">
        <v>16</v>
      </c>
      <c r="C11" t="n">
        <v>25613</v>
      </c>
      <c r="D11" t="n">
        <v>19</v>
      </c>
      <c r="E11" t="n">
        <v>21</v>
      </c>
      <c r="F11" t="n">
        <v>15</v>
      </c>
      <c r="G11" t="n">
        <v>19</v>
      </c>
      <c r="H11" t="n">
        <v>14</v>
      </c>
      <c r="I11" t="n">
        <v>14</v>
      </c>
      <c r="J11" t="n">
        <v>14</v>
      </c>
      <c r="K11" t="n">
        <v>26</v>
      </c>
      <c r="L11" t="n">
        <v>0</v>
      </c>
      <c r="M11" t="n">
        <v>0</v>
      </c>
      <c r="N11" t="n">
        <v>0</v>
      </c>
      <c r="O11" t="n">
        <v>5</v>
      </c>
      <c r="P11" t="n">
        <v>0</v>
      </c>
      <c r="Q11" t="n">
        <v>3</v>
      </c>
      <c r="R11" t="n">
        <v>0</v>
      </c>
      <c r="S11" t="n">
        <v>800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inlineStr">
        <is>
          <t>adhemar_bonnet_+1</t>
        </is>
      </c>
      <c r="B12" t="n">
        <v>16</v>
      </c>
      <c r="C12" t="n">
        <v>25614</v>
      </c>
      <c r="D12" t="n">
        <v>19</v>
      </c>
      <c r="E12" t="n">
        <v>23</v>
      </c>
      <c r="F12" t="n">
        <v>15</v>
      </c>
      <c r="G12" t="n">
        <v>19</v>
      </c>
      <c r="H12" t="n">
        <v>14</v>
      </c>
      <c r="I12" t="n">
        <v>14</v>
      </c>
      <c r="J12" t="n">
        <v>14</v>
      </c>
      <c r="K12" t="n">
        <v>36</v>
      </c>
      <c r="L12" t="n">
        <v>0</v>
      </c>
      <c r="M12" t="n">
        <v>0</v>
      </c>
      <c r="N12" t="n">
        <v>6</v>
      </c>
      <c r="O12" t="n">
        <v>0</v>
      </c>
      <c r="P12" t="n">
        <v>0</v>
      </c>
      <c r="Q12" t="n">
        <v>6</v>
      </c>
      <c r="R12" t="n">
        <v>0</v>
      </c>
      <c r="S12" t="n">
        <v>800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inlineStr">
        <is>
          <t>adhemar_gamashes</t>
        </is>
      </c>
      <c r="B13" t="n">
        <v>256</v>
      </c>
      <c r="C13" t="n">
        <v>27473</v>
      </c>
      <c r="D13" t="n">
        <v>15</v>
      </c>
      <c r="E13" t="n">
        <v>23</v>
      </c>
      <c r="F13" t="n">
        <v>8</v>
      </c>
      <c r="G13" t="n">
        <v>42</v>
      </c>
      <c r="H13" t="n">
        <v>0</v>
      </c>
      <c r="I13" t="n">
        <v>11</v>
      </c>
      <c r="J13" t="n">
        <v>25</v>
      </c>
      <c r="K13" t="n">
        <v>24</v>
      </c>
      <c r="L13" t="n">
        <v>0</v>
      </c>
      <c r="M13" t="n">
        <v>0</v>
      </c>
      <c r="N13" t="n">
        <v>3</v>
      </c>
      <c r="O13" t="n">
        <v>0</v>
      </c>
      <c r="P13" t="n">
        <v>0</v>
      </c>
      <c r="Q13" t="n">
        <v>0</v>
      </c>
      <c r="R13" t="n">
        <v>0</v>
      </c>
      <c r="S13" t="n">
        <v>400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inlineStr">
        <is>
          <t>adhemar_jacket</t>
        </is>
      </c>
      <c r="B14" t="n">
        <v>32</v>
      </c>
      <c r="C14" t="n">
        <v>25686</v>
      </c>
      <c r="D14" t="n">
        <v>21</v>
      </c>
      <c r="E14" t="n">
        <v>33</v>
      </c>
      <c r="F14" t="n">
        <v>23</v>
      </c>
      <c r="G14" t="n">
        <v>29</v>
      </c>
      <c r="H14" t="n">
        <v>20</v>
      </c>
      <c r="I14" t="n">
        <v>20</v>
      </c>
      <c r="J14" t="n">
        <v>20</v>
      </c>
      <c r="K14" t="n">
        <v>25</v>
      </c>
      <c r="L14" t="n">
        <v>0</v>
      </c>
      <c r="M14" t="n">
        <v>25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400</v>
      </c>
      <c r="T14" t="n">
        <v>0</v>
      </c>
      <c r="U14" t="n">
        <v>0</v>
      </c>
      <c r="V14" t="n">
        <v>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inlineStr">
        <is>
          <t>adhemar_jacket_+1</t>
        </is>
      </c>
      <c r="B15" t="n">
        <v>32</v>
      </c>
      <c r="C15" t="n">
        <v>25687</v>
      </c>
      <c r="D15" t="n">
        <v>26</v>
      </c>
      <c r="E15" t="n">
        <v>33</v>
      </c>
      <c r="F15" t="n">
        <v>23</v>
      </c>
      <c r="G15" t="n">
        <v>29</v>
      </c>
      <c r="H15" t="n">
        <v>20</v>
      </c>
      <c r="I15" t="n">
        <v>20</v>
      </c>
      <c r="J15" t="n">
        <v>20</v>
      </c>
      <c r="K15" t="n">
        <v>35</v>
      </c>
      <c r="L15" t="n">
        <v>0</v>
      </c>
      <c r="M15" t="n">
        <v>35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400</v>
      </c>
      <c r="T15" t="n">
        <v>0</v>
      </c>
      <c r="U15" t="n">
        <v>0</v>
      </c>
      <c r="V15" t="n">
        <v>6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inlineStr">
        <is>
          <t>adhemar_kecks</t>
        </is>
      </c>
      <c r="B16" t="n">
        <v>128</v>
      </c>
      <c r="C16" t="n">
        <v>27302</v>
      </c>
      <c r="D16" t="n">
        <v>32</v>
      </c>
      <c r="E16" t="n">
        <v>0</v>
      </c>
      <c r="F16" t="n">
        <v>15</v>
      </c>
      <c r="G16" t="n">
        <v>30</v>
      </c>
      <c r="H16" t="n">
        <v>28</v>
      </c>
      <c r="I16" t="n">
        <v>16</v>
      </c>
      <c r="J16" t="n">
        <v>8</v>
      </c>
      <c r="K16" t="n">
        <v>0</v>
      </c>
      <c r="L16" t="n">
        <v>0</v>
      </c>
      <c r="M16" t="n">
        <v>24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600</v>
      </c>
      <c r="T16" t="n">
        <v>0</v>
      </c>
      <c r="U16" t="n">
        <v>0</v>
      </c>
      <c r="V16" t="n">
        <v>0</v>
      </c>
      <c r="W16" t="n">
        <v>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inlineStr">
        <is>
          <t>adhemar_kecks_+1</t>
        </is>
      </c>
      <c r="B17" t="n">
        <v>128</v>
      </c>
      <c r="C17" t="n">
        <v>27303</v>
      </c>
      <c r="D17" t="n">
        <v>32</v>
      </c>
      <c r="E17" t="n">
        <v>0</v>
      </c>
      <c r="F17" t="n">
        <v>15</v>
      </c>
      <c r="G17" t="n">
        <v>30</v>
      </c>
      <c r="H17" t="n">
        <v>28</v>
      </c>
      <c r="I17" t="n">
        <v>16</v>
      </c>
      <c r="J17" t="n">
        <v>8</v>
      </c>
      <c r="K17" t="n">
        <v>0</v>
      </c>
      <c r="L17" t="n">
        <v>0</v>
      </c>
      <c r="M17" t="n">
        <v>34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600</v>
      </c>
      <c r="T17" t="n">
        <v>0</v>
      </c>
      <c r="U17" t="n">
        <v>0</v>
      </c>
      <c r="V17" t="n">
        <v>0</v>
      </c>
      <c r="W17" t="n">
        <v>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inlineStr">
        <is>
          <t>adhemar_wrist._+1</t>
        </is>
      </c>
      <c r="B18" t="n">
        <v>64</v>
      </c>
      <c r="C18" t="n">
        <v>27118</v>
      </c>
      <c r="D18" t="n">
        <v>15</v>
      </c>
      <c r="E18" t="n">
        <v>44</v>
      </c>
      <c r="F18" t="n">
        <v>29</v>
      </c>
      <c r="G18" t="n">
        <v>7</v>
      </c>
      <c r="H18" t="n">
        <v>12</v>
      </c>
      <c r="I18" t="n">
        <v>30</v>
      </c>
      <c r="J18" t="n">
        <v>17</v>
      </c>
      <c r="K18" t="n">
        <v>0</v>
      </c>
      <c r="L18" t="n">
        <v>0</v>
      </c>
      <c r="M18" t="n">
        <v>32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500</v>
      </c>
      <c r="T18" t="n">
        <v>0</v>
      </c>
      <c r="U18" t="n">
        <v>0</v>
      </c>
      <c r="V18" t="n">
        <v>0</v>
      </c>
      <c r="W18" t="n">
        <v>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inlineStr">
        <is>
          <t>adhemar_wristbands</t>
        </is>
      </c>
      <c r="B19" t="n">
        <v>64</v>
      </c>
      <c r="C19" t="n">
        <v>27117</v>
      </c>
      <c r="D19" t="n">
        <v>15</v>
      </c>
      <c r="E19" t="n">
        <v>43</v>
      </c>
      <c r="F19" t="n">
        <v>29</v>
      </c>
      <c r="G19" t="n">
        <v>7</v>
      </c>
      <c r="H19" t="n">
        <v>12</v>
      </c>
      <c r="I19" t="n">
        <v>30</v>
      </c>
      <c r="J19" t="n">
        <v>17</v>
      </c>
      <c r="K19" t="n">
        <v>0</v>
      </c>
      <c r="L19" t="n">
        <v>0</v>
      </c>
      <c r="M19" t="n">
        <v>22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500</v>
      </c>
      <c r="T19" t="n">
        <v>0</v>
      </c>
      <c r="U19" t="n">
        <v>0</v>
      </c>
      <c r="V19" t="n">
        <v>0</v>
      </c>
      <c r="W19" t="n">
        <v>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inlineStr">
        <is>
          <t>adorned_helm</t>
        </is>
      </c>
      <c r="B20" t="n">
        <v>16</v>
      </c>
      <c r="C20" t="n">
        <v>26714</v>
      </c>
      <c r="D20" t="n">
        <v>23</v>
      </c>
      <c r="E20" t="n">
        <v>19</v>
      </c>
      <c r="F20" t="n">
        <v>23</v>
      </c>
      <c r="G20" t="n">
        <v>19</v>
      </c>
      <c r="H20" t="n">
        <v>19</v>
      </c>
      <c r="I20" t="n">
        <v>19</v>
      </c>
      <c r="J20" t="n">
        <v>19</v>
      </c>
      <c r="K20" t="n">
        <v>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inlineStr">
        <is>
          <t>adorned_helm_+1</t>
        </is>
      </c>
      <c r="B21" t="n">
        <v>16</v>
      </c>
      <c r="C21" t="n">
        <v>26715</v>
      </c>
      <c r="D21" t="n">
        <v>23</v>
      </c>
      <c r="E21" t="n">
        <v>19</v>
      </c>
      <c r="F21" t="n">
        <v>23</v>
      </c>
      <c r="G21" t="n">
        <v>19</v>
      </c>
      <c r="H21" t="n">
        <v>19</v>
      </c>
      <c r="I21" t="n">
        <v>19</v>
      </c>
      <c r="J21" t="n">
        <v>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inlineStr">
        <is>
          <t>adoulin_ring</t>
        </is>
      </c>
      <c r="B22" t="n">
        <v>24576</v>
      </c>
      <c r="C22" t="n">
        <v>27580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</v>
      </c>
      <c r="L22" t="n">
        <v>0</v>
      </c>
      <c r="M22" t="n">
        <v>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inlineStr">
        <is>
          <t>adoulin_ring_+1</t>
        </is>
      </c>
      <c r="B23" t="n">
        <v>24576</v>
      </c>
      <c r="C23" t="n">
        <v>26192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</v>
      </c>
      <c r="L23" t="n">
        <v>0</v>
      </c>
      <c r="M23" t="n">
        <v>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inlineStr">
        <is>
          <t>aeto._gloves_+1</t>
        </is>
      </c>
      <c r="B24" t="n">
        <v>64</v>
      </c>
      <c r="C24" t="n">
        <v>28037</v>
      </c>
      <c r="D24" t="n">
        <v>8</v>
      </c>
      <c r="E24" t="n">
        <v>38</v>
      </c>
      <c r="F24" t="n">
        <v>26</v>
      </c>
      <c r="G24" t="n">
        <v>3</v>
      </c>
      <c r="H24" t="n">
        <v>10</v>
      </c>
      <c r="I24" t="n">
        <v>25</v>
      </c>
      <c r="J24" t="n">
        <v>14</v>
      </c>
      <c r="K24" t="n">
        <v>0</v>
      </c>
      <c r="L24" t="n">
        <v>0</v>
      </c>
      <c r="M24" t="n">
        <v>11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400</v>
      </c>
      <c r="T24" t="n">
        <v>0</v>
      </c>
      <c r="U24" t="n">
        <v>0</v>
      </c>
      <c r="V24" t="n">
        <v>0</v>
      </c>
      <c r="W24" t="n">
        <v>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inlineStr">
        <is>
          <t>aeto._jerkin_+1</t>
        </is>
      </c>
      <c r="B25" t="n">
        <v>32</v>
      </c>
      <c r="C25" t="n">
        <v>27890</v>
      </c>
      <c r="D25" t="n">
        <v>20</v>
      </c>
      <c r="E25" t="n">
        <v>31</v>
      </c>
      <c r="F25" t="n">
        <v>20</v>
      </c>
      <c r="G25" t="n">
        <v>30</v>
      </c>
      <c r="H25" t="n">
        <v>18</v>
      </c>
      <c r="I25" t="n">
        <v>18</v>
      </c>
      <c r="J25" t="n">
        <v>18</v>
      </c>
      <c r="K25" t="n">
        <v>0</v>
      </c>
      <c r="L25" t="n">
        <v>0</v>
      </c>
      <c r="M25" t="n">
        <v>15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inlineStr">
        <is>
          <t>aeto._ledel._+1</t>
        </is>
      </c>
      <c r="B26" t="n">
        <v>256</v>
      </c>
      <c r="C26" t="n">
        <v>28315</v>
      </c>
      <c r="D26" t="n">
        <v>10</v>
      </c>
      <c r="E26" t="n">
        <v>20</v>
      </c>
      <c r="F26" t="n">
        <v>10</v>
      </c>
      <c r="G26" t="n">
        <v>38</v>
      </c>
      <c r="H26" t="n">
        <v>0</v>
      </c>
      <c r="I26" t="n">
        <v>10</v>
      </c>
      <c r="J26" t="n">
        <v>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inlineStr">
        <is>
          <t>aeto._ledelsens</t>
        </is>
      </c>
      <c r="B27" t="n">
        <v>256</v>
      </c>
      <c r="C27" t="n">
        <v>28314</v>
      </c>
      <c r="D27" t="n">
        <v>8</v>
      </c>
      <c r="E27" t="n">
        <v>17</v>
      </c>
      <c r="F27" t="n">
        <v>8</v>
      </c>
      <c r="G27" t="n">
        <v>34</v>
      </c>
      <c r="H27" t="n">
        <v>0</v>
      </c>
      <c r="I27" t="n">
        <v>8</v>
      </c>
      <c r="J27" t="n">
        <v>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inlineStr">
        <is>
          <t>aeto._trousers</t>
        </is>
      </c>
      <c r="B28" t="n">
        <v>128</v>
      </c>
      <c r="C28" t="n">
        <v>28176</v>
      </c>
      <c r="D28" t="n">
        <v>21</v>
      </c>
      <c r="E28" t="n">
        <v>0</v>
      </c>
      <c r="F28" t="n">
        <v>11</v>
      </c>
      <c r="G28" t="n">
        <v>20</v>
      </c>
      <c r="H28" t="n">
        <v>22</v>
      </c>
      <c r="I28" t="n">
        <v>12</v>
      </c>
      <c r="J28" t="n">
        <v>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600</v>
      </c>
      <c r="T28" t="n">
        <v>0</v>
      </c>
      <c r="U28" t="n">
        <v>0</v>
      </c>
      <c r="V28" t="n">
        <v>0</v>
      </c>
      <c r="W28" t="n">
        <v>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inlineStr">
        <is>
          <t>aeto._trousers_+1</t>
        </is>
      </c>
      <c r="B29" t="n">
        <v>128</v>
      </c>
      <c r="C29" t="n">
        <v>28177</v>
      </c>
      <c r="D29" t="n">
        <v>24</v>
      </c>
      <c r="E29" t="n">
        <v>0</v>
      </c>
      <c r="F29" t="n">
        <v>13</v>
      </c>
      <c r="G29" t="n">
        <v>23</v>
      </c>
      <c r="H29" t="n">
        <v>25</v>
      </c>
      <c r="I29" t="n">
        <v>14</v>
      </c>
      <c r="J29" t="n">
        <v>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600</v>
      </c>
      <c r="T29" t="n">
        <v>0</v>
      </c>
      <c r="U29" t="n">
        <v>0</v>
      </c>
      <c r="V29" t="n">
        <v>0</v>
      </c>
      <c r="W29" t="n">
        <v>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inlineStr">
        <is>
          <t>aetosaur_gloves</t>
        </is>
      </c>
      <c r="B30" t="n">
        <v>64</v>
      </c>
      <c r="C30" t="n">
        <v>28036</v>
      </c>
      <c r="D30" t="n">
        <v>7</v>
      </c>
      <c r="E30" t="n">
        <v>35</v>
      </c>
      <c r="F30" t="n">
        <v>24</v>
      </c>
      <c r="G30" t="n">
        <v>2</v>
      </c>
      <c r="H30" t="n">
        <v>8</v>
      </c>
      <c r="I30" t="n">
        <v>22</v>
      </c>
      <c r="J30" t="n">
        <v>12</v>
      </c>
      <c r="K30" t="n">
        <v>0</v>
      </c>
      <c r="L30" t="n">
        <v>0</v>
      </c>
      <c r="M30" t="n">
        <v>10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400</v>
      </c>
      <c r="T30" t="n">
        <v>0</v>
      </c>
      <c r="U30" t="n">
        <v>0</v>
      </c>
      <c r="V30" t="n">
        <v>0</v>
      </c>
      <c r="W30" t="n">
        <v>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inlineStr">
        <is>
          <t>aetosaur_helm</t>
        </is>
      </c>
      <c r="B31" t="n">
        <v>16</v>
      </c>
      <c r="C31" t="n">
        <v>27746</v>
      </c>
      <c r="D31" t="n">
        <v>16</v>
      </c>
      <c r="E31" t="n">
        <v>23</v>
      </c>
      <c r="F31" t="n">
        <v>16</v>
      </c>
      <c r="G31" t="n">
        <v>17</v>
      </c>
      <c r="H31" t="n">
        <v>16</v>
      </c>
      <c r="I31" t="n">
        <v>16</v>
      </c>
      <c r="J31" t="n">
        <v>17</v>
      </c>
      <c r="K31" t="n">
        <v>0</v>
      </c>
      <c r="L31" t="n">
        <v>0</v>
      </c>
      <c r="M31" t="n">
        <v>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inlineStr">
        <is>
          <t>aetosaur_helm_+1</t>
        </is>
      </c>
      <c r="B32" t="n">
        <v>16</v>
      </c>
      <c r="C32" t="n">
        <v>27747</v>
      </c>
      <c r="D32" t="n">
        <v>18</v>
      </c>
      <c r="E32" t="n">
        <v>26</v>
      </c>
      <c r="F32" t="n">
        <v>18</v>
      </c>
      <c r="G32" t="n">
        <v>19</v>
      </c>
      <c r="H32" t="n">
        <v>18</v>
      </c>
      <c r="I32" t="n">
        <v>18</v>
      </c>
      <c r="J32" t="n">
        <v>19</v>
      </c>
      <c r="K32" t="n">
        <v>0</v>
      </c>
      <c r="L32" t="n">
        <v>0</v>
      </c>
      <c r="M32" t="n">
        <v>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inlineStr">
        <is>
          <t>aetosaur_jerkin</t>
        </is>
      </c>
      <c r="B33" t="n">
        <v>32</v>
      </c>
      <c r="C33" t="n">
        <v>27889</v>
      </c>
      <c r="D33" t="n">
        <v>17</v>
      </c>
      <c r="E33" t="n">
        <v>28</v>
      </c>
      <c r="F33" t="n">
        <v>17</v>
      </c>
      <c r="G33" t="n">
        <v>27</v>
      </c>
      <c r="H33" t="n">
        <v>16</v>
      </c>
      <c r="I33" t="n">
        <v>16</v>
      </c>
      <c r="J33" t="n">
        <v>16</v>
      </c>
      <c r="K33" t="n">
        <v>0</v>
      </c>
      <c r="L33" t="n">
        <v>0</v>
      </c>
      <c r="M33" t="n">
        <v>14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inlineStr">
        <is>
          <t>agitators_collar</t>
        </is>
      </c>
      <c r="B34" t="n">
        <v>512</v>
      </c>
      <c r="C34" t="n">
        <v>28389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</v>
      </c>
      <c r="L34" t="n">
        <v>0</v>
      </c>
      <c r="M34" t="n">
        <v>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inlineStr">
        <is>
          <t>agony_jerkin_+1</t>
        </is>
      </c>
      <c r="B35" t="n">
        <v>32</v>
      </c>
      <c r="C35" t="n">
        <v>26943</v>
      </c>
      <c r="D35" t="n">
        <v>24</v>
      </c>
      <c r="E35" t="n">
        <v>35</v>
      </c>
      <c r="F35" t="n">
        <v>24</v>
      </c>
      <c r="G35" t="n">
        <v>28</v>
      </c>
      <c r="H35" t="n">
        <v>23</v>
      </c>
      <c r="I35" t="n">
        <v>23</v>
      </c>
      <c r="J35" t="n">
        <v>23</v>
      </c>
      <c r="K35" t="n">
        <v>24</v>
      </c>
      <c r="L35" t="n">
        <v>0</v>
      </c>
      <c r="M35" t="n">
        <v>17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inlineStr">
        <is>
          <t>alcedo_cuisses</t>
        </is>
      </c>
      <c r="B36" t="n">
        <v>128</v>
      </c>
      <c r="C36" t="n">
        <v>10598</v>
      </c>
      <c r="D36" t="n">
        <v>0</v>
      </c>
      <c r="E36" t="n">
        <v>0</v>
      </c>
      <c r="F36" t="n">
        <v>10</v>
      </c>
      <c r="G36" t="n">
        <v>0</v>
      </c>
      <c r="H36" t="n">
        <v>0</v>
      </c>
      <c r="I36" t="n">
        <v>10</v>
      </c>
      <c r="J36" t="n">
        <v>0</v>
      </c>
      <c r="K36" t="n">
        <v>0</v>
      </c>
      <c r="L36" t="n">
        <v>0</v>
      </c>
      <c r="M36" t="n">
        <v>13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inlineStr">
        <is>
          <t>alcedo_gauntlets</t>
        </is>
      </c>
      <c r="B37" t="n">
        <v>64</v>
      </c>
      <c r="C37" t="n">
        <v>10315</v>
      </c>
      <c r="D37" t="n">
        <v>0</v>
      </c>
      <c r="E37" t="n">
        <v>0</v>
      </c>
      <c r="F37" t="n">
        <v>7</v>
      </c>
      <c r="G37" t="n">
        <v>0</v>
      </c>
      <c r="H37" t="n">
        <v>0</v>
      </c>
      <c r="I37" t="n">
        <v>7</v>
      </c>
      <c r="J37" t="n">
        <v>0</v>
      </c>
      <c r="K37" t="n">
        <v>0</v>
      </c>
      <c r="L37" t="n">
        <v>0</v>
      </c>
      <c r="M37" t="n">
        <v>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inlineStr">
        <is>
          <t>alhazen_hat_+1</t>
        </is>
      </c>
      <c r="B38" t="n">
        <v>16</v>
      </c>
      <c r="C38" t="n">
        <v>26787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inlineStr">
        <is>
          <t>amar_cluster</t>
        </is>
      </c>
      <c r="B39" t="n">
        <v>8</v>
      </c>
      <c r="C39" t="n">
        <v>22262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inlineStr">
        <is>
          <t>amin_turban</t>
        </is>
      </c>
      <c r="B40" t="n">
        <v>16</v>
      </c>
      <c r="C40" t="n">
        <v>24274</v>
      </c>
      <c r="D40" t="n">
        <v>25</v>
      </c>
      <c r="E40" t="n">
        <v>25</v>
      </c>
      <c r="F40" t="n">
        <v>25</v>
      </c>
      <c r="G40" t="n">
        <v>25</v>
      </c>
      <c r="H40" t="n">
        <v>30</v>
      </c>
      <c r="I40" t="n">
        <v>30</v>
      </c>
      <c r="J40" t="n">
        <v>30</v>
      </c>
      <c r="K40" t="n">
        <v>0</v>
      </c>
      <c r="L40" t="n">
        <v>0</v>
      </c>
      <c r="M40" t="n">
        <v>40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inlineStr">
        <is>
          <t>amm_greaves</t>
        </is>
      </c>
      <c r="B41" t="n">
        <v>256</v>
      </c>
      <c r="C41" t="n">
        <v>27491</v>
      </c>
      <c r="D41" t="n">
        <v>15</v>
      </c>
      <c r="E41" t="n">
        <v>17</v>
      </c>
      <c r="F41" t="n">
        <v>21</v>
      </c>
      <c r="G41" t="n">
        <v>32</v>
      </c>
      <c r="H41" t="n">
        <v>0</v>
      </c>
      <c r="I41" t="n">
        <v>10</v>
      </c>
      <c r="J41" t="n">
        <v>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0</v>
      </c>
      <c r="R41" t="n">
        <v>0</v>
      </c>
      <c r="S41" t="n">
        <v>300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inlineStr">
        <is>
          <t>annealed_mantle</t>
        </is>
      </c>
      <c r="B42" t="n">
        <v>32768</v>
      </c>
      <c r="C42" t="n">
        <v>27594</v>
      </c>
      <c r="D42" t="n">
        <v>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</v>
      </c>
      <c r="L42" t="n">
        <v>0</v>
      </c>
      <c r="M42" t="n">
        <v>0</v>
      </c>
      <c r="N42" t="n">
        <v>0</v>
      </c>
      <c r="O42" t="n">
        <v>0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inlineStr">
        <is>
          <t>aqreqaq_bomblet</t>
        </is>
      </c>
      <c r="B43" t="n">
        <v>8</v>
      </c>
      <c r="C43" t="n">
        <v>21385</v>
      </c>
      <c r="D43" t="n">
        <v>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inlineStr">
        <is>
          <t>ar._gambieras_+1</t>
        </is>
      </c>
      <c r="B44" t="n">
        <v>256</v>
      </c>
      <c r="C44" t="n">
        <v>25965</v>
      </c>
      <c r="D44" t="n">
        <v>26</v>
      </c>
      <c r="E44" t="n">
        <v>20</v>
      </c>
      <c r="F44" t="n">
        <v>31</v>
      </c>
      <c r="G44" t="n">
        <v>33</v>
      </c>
      <c r="H44" t="n">
        <v>0</v>
      </c>
      <c r="I44" t="n">
        <v>19</v>
      </c>
      <c r="J44" t="n">
        <v>31</v>
      </c>
      <c r="K44" t="n">
        <v>0</v>
      </c>
      <c r="L44" t="n">
        <v>0</v>
      </c>
      <c r="M44" t="n">
        <v>48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inlineStr">
        <is>
          <t>ares_cuirass_+1</t>
        </is>
      </c>
      <c r="B45" t="n">
        <v>32</v>
      </c>
      <c r="C45" t="n">
        <v>27788</v>
      </c>
      <c r="D45" t="n">
        <v>16</v>
      </c>
      <c r="E45" t="n">
        <v>0</v>
      </c>
      <c r="F45" t="n">
        <v>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inlineStr">
        <is>
          <t>ares_flanchard_+1</t>
        </is>
      </c>
      <c r="B46" t="n">
        <v>128</v>
      </c>
      <c r="C46" t="n">
        <v>28071</v>
      </c>
      <c r="D46" t="n">
        <v>8</v>
      </c>
      <c r="E46" t="n">
        <v>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2</v>
      </c>
      <c r="R46" t="n">
        <v>0</v>
      </c>
      <c r="S46" t="n">
        <v>600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inlineStr">
        <is>
          <t>ares_gauntlets_+1</t>
        </is>
      </c>
      <c r="B47" t="n">
        <v>64</v>
      </c>
      <c r="C47" t="n">
        <v>27928</v>
      </c>
      <c r="D47" t="n">
        <v>9</v>
      </c>
      <c r="E47" t="n">
        <v>0</v>
      </c>
      <c r="F47" t="n">
        <v>9</v>
      </c>
      <c r="G47" t="n">
        <v>0</v>
      </c>
      <c r="H47" t="n">
        <v>0</v>
      </c>
      <c r="I47" t="n">
        <v>0</v>
      </c>
      <c r="J47" t="n">
        <v>0</v>
      </c>
      <c r="K47" t="n">
        <v>8</v>
      </c>
      <c r="L47" t="n">
        <v>0</v>
      </c>
      <c r="M47" t="n">
        <v>8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400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inlineStr">
        <is>
          <t>ares_mask_+1</t>
        </is>
      </c>
      <c r="B48" t="n">
        <v>16</v>
      </c>
      <c r="C48" t="n">
        <v>27648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40</v>
      </c>
      <c r="L48" t="n">
        <v>0</v>
      </c>
      <c r="M48" t="n">
        <v>15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600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inlineStr">
        <is>
          <t>ares_sollerets_+1</t>
        </is>
      </c>
      <c r="B49" t="n">
        <v>256</v>
      </c>
      <c r="C49" t="n">
        <v>28208</v>
      </c>
      <c r="D49" t="n">
        <v>0</v>
      </c>
      <c r="E49" t="n">
        <v>0</v>
      </c>
      <c r="F49" t="n">
        <v>8</v>
      </c>
      <c r="G49" t="n">
        <v>8</v>
      </c>
      <c r="H49" t="n">
        <v>0</v>
      </c>
      <c r="I49" t="n">
        <v>0</v>
      </c>
      <c r="J49" t="n">
        <v>0</v>
      </c>
      <c r="K49" t="n">
        <v>17</v>
      </c>
      <c r="L49" t="n">
        <v>0</v>
      </c>
      <c r="M49" t="n">
        <v>11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inlineStr">
        <is>
          <t>arke_cosc._+1</t>
        </is>
      </c>
      <c r="B50" t="n">
        <v>128</v>
      </c>
      <c r="C50" t="n">
        <v>25898</v>
      </c>
      <c r="D50" t="n">
        <v>45</v>
      </c>
      <c r="E50" t="n">
        <v>0</v>
      </c>
      <c r="F50" t="n">
        <v>35</v>
      </c>
      <c r="G50" t="n">
        <v>19</v>
      </c>
      <c r="H50" t="n">
        <v>30</v>
      </c>
      <c r="I50" t="n">
        <v>20</v>
      </c>
      <c r="J50" t="n">
        <v>15</v>
      </c>
      <c r="K50" t="n">
        <v>0</v>
      </c>
      <c r="L50" t="n">
        <v>0</v>
      </c>
      <c r="M50" t="n">
        <v>51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500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inlineStr">
        <is>
          <t>arke_zuchetto</t>
        </is>
      </c>
      <c r="B51" t="n">
        <v>16</v>
      </c>
      <c r="C51" t="n">
        <v>25557</v>
      </c>
      <c r="D51" t="n">
        <v>30</v>
      </c>
      <c r="E51" t="n">
        <v>26</v>
      </c>
      <c r="F51" t="n">
        <v>35</v>
      </c>
      <c r="G51" t="n">
        <v>21</v>
      </c>
      <c r="H51" t="n">
        <v>21</v>
      </c>
      <c r="I51" t="n">
        <v>28</v>
      </c>
      <c r="J51" t="n">
        <v>22</v>
      </c>
      <c r="K51" t="n">
        <v>0</v>
      </c>
      <c r="L51" t="n">
        <v>0</v>
      </c>
      <c r="M51" t="n">
        <v>40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700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inlineStr">
        <is>
          <t>arke_zuchetto_+1</t>
        </is>
      </c>
      <c r="B52" t="n">
        <v>16</v>
      </c>
      <c r="C52" t="n">
        <v>25558</v>
      </c>
      <c r="D52" t="n">
        <v>35</v>
      </c>
      <c r="E52" t="n">
        <v>26</v>
      </c>
      <c r="F52" t="n">
        <v>40</v>
      </c>
      <c r="G52" t="n">
        <v>21</v>
      </c>
      <c r="H52" t="n">
        <v>21</v>
      </c>
      <c r="I52" t="n">
        <v>28</v>
      </c>
      <c r="J52" t="n">
        <v>22</v>
      </c>
      <c r="K52" t="n">
        <v>0</v>
      </c>
      <c r="L52" t="n">
        <v>0</v>
      </c>
      <c r="M52" t="n">
        <v>50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700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inlineStr">
        <is>
          <t>ashera_harness</t>
        </is>
      </c>
      <c r="B53" t="n">
        <v>32</v>
      </c>
      <c r="C53" t="n">
        <v>25786</v>
      </c>
      <c r="D53" t="n">
        <v>30</v>
      </c>
      <c r="E53" t="n">
        <v>40</v>
      </c>
      <c r="F53" t="n">
        <v>30</v>
      </c>
      <c r="G53" t="n">
        <v>30</v>
      </c>
      <c r="H53" t="n">
        <v>30</v>
      </c>
      <c r="I53" t="n">
        <v>30</v>
      </c>
      <c r="J53" t="n">
        <v>40</v>
      </c>
      <c r="K53" t="n">
        <v>45</v>
      </c>
      <c r="L53" t="n">
        <v>0</v>
      </c>
      <c r="M53" t="n">
        <v>45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400</v>
      </c>
      <c r="T53" t="n">
        <v>0</v>
      </c>
      <c r="U53" t="n">
        <v>0</v>
      </c>
      <c r="V53" t="n">
        <v>0</v>
      </c>
      <c r="W53" t="n">
        <v>10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inlineStr">
        <is>
          <t>asperity_necklace</t>
        </is>
      </c>
      <c r="B54" t="n">
        <v>512</v>
      </c>
      <c r="C54" t="n">
        <v>28402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8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inlineStr">
        <is>
          <t>asura_samue</t>
        </is>
      </c>
      <c r="B55" t="n">
        <v>32</v>
      </c>
      <c r="C55" t="n">
        <v>10454</v>
      </c>
      <c r="D55" t="n">
        <v>0</v>
      </c>
      <c r="E55" t="n">
        <v>0</v>
      </c>
      <c r="F55" t="n">
        <v>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4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inlineStr">
        <is>
          <t>asura_samue_+1</t>
        </is>
      </c>
      <c r="B56" t="n">
        <v>32</v>
      </c>
      <c r="C56" t="n">
        <v>10455</v>
      </c>
      <c r="D56" t="n">
        <v>0</v>
      </c>
      <c r="E56" t="n">
        <v>0</v>
      </c>
      <c r="F56" t="n">
        <v>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8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inlineStr">
        <is>
          <t>athoss_tabard</t>
        </is>
      </c>
      <c r="B57" t="n">
        <v>32</v>
      </c>
      <c r="C57" t="n">
        <v>10451</v>
      </c>
      <c r="D57" t="n">
        <v>0</v>
      </c>
      <c r="E57" t="n">
        <v>15</v>
      </c>
      <c r="F57" t="n">
        <v>0</v>
      </c>
      <c r="G57" t="n">
        <v>15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7</v>
      </c>
      <c r="N57" t="n">
        <v>0</v>
      </c>
      <c r="O57" t="n">
        <v>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inlineStr">
        <is>
          <t>attackers_mantle</t>
        </is>
      </c>
      <c r="B58" t="n">
        <v>32768</v>
      </c>
      <c r="C58" t="n">
        <v>10998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12</v>
      </c>
      <c r="L58" t="n">
        <v>0</v>
      </c>
      <c r="M58" t="n">
        <v>12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inlineStr">
        <is>
          <t>augury_cuisses_+1</t>
        </is>
      </c>
      <c r="B59" t="n">
        <v>128</v>
      </c>
      <c r="C59" t="n">
        <v>28137</v>
      </c>
      <c r="D59" t="n">
        <v>30</v>
      </c>
      <c r="E59" t="n">
        <v>0</v>
      </c>
      <c r="F59" t="n">
        <v>17</v>
      </c>
      <c r="G59" t="n">
        <v>17</v>
      </c>
      <c r="H59" t="n">
        <v>33</v>
      </c>
      <c r="I59" t="n">
        <v>20</v>
      </c>
      <c r="J59" t="n">
        <v>16</v>
      </c>
      <c r="K59" t="n">
        <v>16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400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inlineStr">
        <is>
          <t>aurgelmir_orb_+1</t>
        </is>
      </c>
      <c r="B60" t="n">
        <v>8</v>
      </c>
      <c r="C60" t="n">
        <v>22298</v>
      </c>
      <c r="D60" t="n">
        <v>7</v>
      </c>
      <c r="E60" t="n">
        <v>7</v>
      </c>
      <c r="F60" t="n">
        <v>7</v>
      </c>
      <c r="G60" t="n">
        <v>0</v>
      </c>
      <c r="H60" t="n">
        <v>0</v>
      </c>
      <c r="I60" t="n">
        <v>0</v>
      </c>
      <c r="J60" t="n">
        <v>0</v>
      </c>
      <c r="K60" t="n">
        <v>10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5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inlineStr">
        <is>
          <t>baghere_salade</t>
        </is>
      </c>
      <c r="B61" t="n">
        <v>16</v>
      </c>
      <c r="C61" t="n">
        <v>27708</v>
      </c>
      <c r="D61" t="n">
        <v>24</v>
      </c>
      <c r="E61" t="n">
        <v>21</v>
      </c>
      <c r="F61" t="n">
        <v>24</v>
      </c>
      <c r="G61" t="n">
        <v>21</v>
      </c>
      <c r="H61" t="n">
        <v>16</v>
      </c>
      <c r="I61" t="n">
        <v>16</v>
      </c>
      <c r="J61" t="n">
        <v>16</v>
      </c>
      <c r="K61" t="n">
        <v>0</v>
      </c>
      <c r="L61" t="n">
        <v>0</v>
      </c>
      <c r="M61" t="n">
        <v>27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700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inlineStr">
        <is>
          <t>balder_earring_+1</t>
        </is>
      </c>
      <c r="B62" t="n">
        <v>6144</v>
      </c>
      <c r="C62" t="n">
        <v>26115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3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inlineStr">
        <is>
          <t>beeline_ring</t>
        </is>
      </c>
      <c r="B63" t="n">
        <v>24576</v>
      </c>
      <c r="C63" t="n">
        <v>28581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inlineStr">
        <is>
          <t>beguilers_jerkin</t>
        </is>
      </c>
      <c r="B64" t="n">
        <v>32</v>
      </c>
      <c r="C64" t="n">
        <v>10285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500</v>
      </c>
      <c r="T64" t="n">
        <v>0</v>
      </c>
      <c r="U64" t="n">
        <v>0</v>
      </c>
      <c r="V64" t="n">
        <v>0</v>
      </c>
      <c r="W64" t="n">
        <v>5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inlineStr">
        <is>
          <t>beithir_ring</t>
        </is>
      </c>
      <c r="B65" t="n">
        <v>24576</v>
      </c>
      <c r="C65" t="n">
        <v>26218</v>
      </c>
      <c r="D65" t="n">
        <v>3</v>
      </c>
      <c r="E65" t="n">
        <v>3</v>
      </c>
      <c r="F65" t="n">
        <v>3</v>
      </c>
      <c r="G65" t="n">
        <v>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inlineStr">
        <is>
          <t>bendiss_hairpin</t>
        </is>
      </c>
      <c r="B66" t="n">
        <v>16</v>
      </c>
      <c r="C66" t="n">
        <v>10443</v>
      </c>
      <c r="D66" t="n">
        <v>0</v>
      </c>
      <c r="E66" t="n">
        <v>10</v>
      </c>
      <c r="F66" t="n">
        <v>0</v>
      </c>
      <c r="G66" t="n">
        <v>10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600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inlineStr">
        <is>
          <t>bladeborn_earring</t>
        </is>
      </c>
      <c r="B67" t="n">
        <v>6144</v>
      </c>
      <c r="C67" t="n">
        <v>28521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8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inlineStr">
        <is>
          <t>bleating_mantle</t>
        </is>
      </c>
      <c r="B68" t="n">
        <v>32768</v>
      </c>
      <c r="C68" t="n">
        <v>27600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inlineStr">
        <is>
          <t>blistering_sallet_+1</t>
        </is>
      </c>
      <c r="B69" t="n">
        <v>16</v>
      </c>
      <c r="C69" t="n">
        <v>25602</v>
      </c>
      <c r="D69" t="n">
        <v>16</v>
      </c>
      <c r="E69" t="n">
        <v>16</v>
      </c>
      <c r="F69" t="n">
        <v>16</v>
      </c>
      <c r="G69" t="n">
        <v>16</v>
      </c>
      <c r="H69" t="n">
        <v>16</v>
      </c>
      <c r="I69" t="n">
        <v>16</v>
      </c>
      <c r="J69" t="n">
        <v>16</v>
      </c>
      <c r="K69" t="n">
        <v>0</v>
      </c>
      <c r="L69" t="n">
        <v>0</v>
      </c>
      <c r="M69" t="n">
        <v>8</v>
      </c>
      <c r="N69" t="n">
        <v>0</v>
      </c>
      <c r="O69" t="n">
        <v>0</v>
      </c>
      <c r="P69" t="n">
        <v>3</v>
      </c>
      <c r="Q69" t="n">
        <v>0</v>
      </c>
      <c r="R69" t="n">
        <v>0</v>
      </c>
      <c r="S69" t="n">
        <v>800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inlineStr">
        <is>
          <t>boor_bracelets</t>
        </is>
      </c>
      <c r="B70" t="n">
        <v>64</v>
      </c>
      <c r="C70" t="n">
        <v>28027</v>
      </c>
      <c r="D70" t="n">
        <v>20</v>
      </c>
      <c r="E70" t="n">
        <v>-13</v>
      </c>
      <c r="F70" t="n">
        <v>0</v>
      </c>
      <c r="G70" t="n">
        <v>-13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inlineStr">
        <is>
          <t>brontes_cuisses</t>
        </is>
      </c>
      <c r="B71" t="n">
        <v>128</v>
      </c>
      <c r="C71" t="n">
        <v>28142</v>
      </c>
      <c r="D71" t="n">
        <v>35</v>
      </c>
      <c r="E71" t="n">
        <v>0</v>
      </c>
      <c r="F71" t="n">
        <v>21</v>
      </c>
      <c r="G71" t="n">
        <v>16</v>
      </c>
      <c r="H71" t="n">
        <v>25</v>
      </c>
      <c r="I71" t="n">
        <v>10</v>
      </c>
      <c r="J71" t="n">
        <v>10</v>
      </c>
      <c r="K71" t="n">
        <v>0</v>
      </c>
      <c r="L71" t="n">
        <v>0</v>
      </c>
      <c r="M71" t="n">
        <v>17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500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inlineStr">
        <is>
          <t>buquwik_cape</t>
        </is>
      </c>
      <c r="B72" t="n">
        <v>32768</v>
      </c>
      <c r="C72" t="n">
        <v>28612</v>
      </c>
      <c r="D72" t="n">
        <v>8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inlineStr">
        <is>
          <t>buremte_gloves</t>
        </is>
      </c>
      <c r="B73" t="n">
        <v>64</v>
      </c>
      <c r="C73" t="n">
        <v>28050</v>
      </c>
      <c r="D73" t="n">
        <v>9</v>
      </c>
      <c r="E73" t="n">
        <v>31</v>
      </c>
      <c r="F73" t="n">
        <v>27</v>
      </c>
      <c r="G73" t="n">
        <v>4</v>
      </c>
      <c r="H73" t="n">
        <v>11</v>
      </c>
      <c r="I73" t="n">
        <v>26</v>
      </c>
      <c r="J73" t="n">
        <v>15</v>
      </c>
      <c r="K73" t="n">
        <v>0</v>
      </c>
      <c r="L73" t="n">
        <v>0</v>
      </c>
      <c r="M73" t="n">
        <v>20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inlineStr">
        <is>
          <t>c._palug_stone</t>
        </is>
      </c>
      <c r="B74" t="n">
        <v>8</v>
      </c>
      <c r="C74" t="n">
        <v>22286</v>
      </c>
      <c r="D74" t="n">
        <v>0</v>
      </c>
      <c r="E74" t="n">
        <v>10</v>
      </c>
      <c r="F74" t="n">
        <v>0</v>
      </c>
      <c r="G74" t="n">
        <v>10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inlineStr">
        <is>
          <t>cab._breeches</t>
        </is>
      </c>
      <c r="B75" t="n">
        <v>128</v>
      </c>
      <c r="C75" t="n">
        <v>27164</v>
      </c>
      <c r="D75" t="n">
        <v>27</v>
      </c>
      <c r="E75" t="n">
        <v>0</v>
      </c>
      <c r="F75" t="n">
        <v>18</v>
      </c>
      <c r="G75" t="n">
        <v>10</v>
      </c>
      <c r="H75" t="n">
        <v>16</v>
      </c>
      <c r="I75" t="n">
        <v>13</v>
      </c>
      <c r="J75" t="n">
        <v>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500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inlineStr">
        <is>
          <t>cab._breeches_+1</t>
        </is>
      </c>
      <c r="B76" t="n">
        <v>128</v>
      </c>
      <c r="C76" t="n">
        <v>27165</v>
      </c>
      <c r="D76" t="n">
        <v>40</v>
      </c>
      <c r="E76" t="n">
        <v>0</v>
      </c>
      <c r="F76" t="n">
        <v>26</v>
      </c>
      <c r="G76" t="n">
        <v>16</v>
      </c>
      <c r="H76" t="n">
        <v>25</v>
      </c>
      <c r="I76" t="n">
        <v>17</v>
      </c>
      <c r="J76" t="n">
        <v>10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500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inlineStr">
        <is>
          <t>cab._breeches_+2</t>
        </is>
      </c>
      <c r="B77" t="n">
        <v>128</v>
      </c>
      <c r="C77" t="n">
        <v>23270</v>
      </c>
      <c r="D77" t="n">
        <v>45</v>
      </c>
      <c r="E77" t="n">
        <v>0</v>
      </c>
      <c r="F77" t="n">
        <v>31</v>
      </c>
      <c r="G77" t="n">
        <v>21</v>
      </c>
      <c r="H77" t="n">
        <v>30</v>
      </c>
      <c r="I77" t="n">
        <v>22</v>
      </c>
      <c r="J77" t="n">
        <v>15</v>
      </c>
      <c r="K77" t="n">
        <v>49</v>
      </c>
      <c r="L77" t="n">
        <v>0</v>
      </c>
      <c r="M77" t="n">
        <v>29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500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inlineStr">
        <is>
          <t>cab._breeches_+3</t>
        </is>
      </c>
      <c r="B78" t="n">
        <v>128</v>
      </c>
      <c r="C78" t="n">
        <v>23605</v>
      </c>
      <c r="D78" t="n">
        <v>50</v>
      </c>
      <c r="E78" t="n">
        <v>0</v>
      </c>
      <c r="F78" t="n">
        <v>36</v>
      </c>
      <c r="G78" t="n">
        <v>26</v>
      </c>
      <c r="H78" t="n">
        <v>35</v>
      </c>
      <c r="I78" t="n">
        <v>27</v>
      </c>
      <c r="J78" t="n">
        <v>20</v>
      </c>
      <c r="K78" t="n">
        <v>64</v>
      </c>
      <c r="L78" t="n">
        <v>0</v>
      </c>
      <c r="M78" t="n">
        <v>39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500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inlineStr">
        <is>
          <t>cab._coronet</t>
        </is>
      </c>
      <c r="B79" t="n">
        <v>16</v>
      </c>
      <c r="C79" t="n">
        <v>26636</v>
      </c>
      <c r="D79" t="n">
        <v>14</v>
      </c>
      <c r="E79" t="n">
        <v>10</v>
      </c>
      <c r="F79" t="n">
        <v>25</v>
      </c>
      <c r="G79" t="n">
        <v>10</v>
      </c>
      <c r="H79" t="n">
        <v>10</v>
      </c>
      <c r="I79" t="n">
        <v>10</v>
      </c>
      <c r="J79" t="n">
        <v>10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600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inlineStr">
        <is>
          <t>cab._coronet_+1</t>
        </is>
      </c>
      <c r="B80" t="n">
        <v>16</v>
      </c>
      <c r="C80" t="n">
        <v>26637</v>
      </c>
      <c r="D80" t="n">
        <v>22</v>
      </c>
      <c r="E80" t="n">
        <v>16</v>
      </c>
      <c r="F80" t="n">
        <v>33</v>
      </c>
      <c r="G80" t="n">
        <v>16</v>
      </c>
      <c r="H80" t="n">
        <v>14</v>
      </c>
      <c r="I80" t="n">
        <v>14</v>
      </c>
      <c r="J80" t="n">
        <v>14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700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inlineStr">
        <is>
          <t>cab._coronet_+2</t>
        </is>
      </c>
      <c r="B81" t="n">
        <v>16</v>
      </c>
      <c r="C81" t="n">
        <v>23069</v>
      </c>
      <c r="D81" t="n">
        <v>27</v>
      </c>
      <c r="E81" t="n">
        <v>21</v>
      </c>
      <c r="F81" t="n">
        <v>38</v>
      </c>
      <c r="G81" t="n">
        <v>21</v>
      </c>
      <c r="H81" t="n">
        <v>19</v>
      </c>
      <c r="I81" t="n">
        <v>19</v>
      </c>
      <c r="J81" t="n">
        <v>19</v>
      </c>
      <c r="K81" t="n">
        <v>47</v>
      </c>
      <c r="L81" t="n">
        <v>0</v>
      </c>
      <c r="M81" t="n">
        <v>27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700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inlineStr">
        <is>
          <t>cab._coronet_+3</t>
        </is>
      </c>
      <c r="B82" t="n">
        <v>16</v>
      </c>
      <c r="C82" t="n">
        <v>23404</v>
      </c>
      <c r="D82" t="n">
        <v>32</v>
      </c>
      <c r="E82" t="n">
        <v>26</v>
      </c>
      <c r="F82" t="n">
        <v>43</v>
      </c>
      <c r="G82" t="n">
        <v>26</v>
      </c>
      <c r="H82" t="n">
        <v>24</v>
      </c>
      <c r="I82" t="n">
        <v>24</v>
      </c>
      <c r="J82" t="n">
        <v>24</v>
      </c>
      <c r="K82" t="n">
        <v>62</v>
      </c>
      <c r="L82" t="n">
        <v>0</v>
      </c>
      <c r="M82" t="n">
        <v>37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700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inlineStr">
        <is>
          <t>cab._gauntlets</t>
        </is>
      </c>
      <c r="B83" t="n">
        <v>64</v>
      </c>
      <c r="C83" t="n">
        <v>26988</v>
      </c>
      <c r="D83" t="n">
        <v>6</v>
      </c>
      <c r="E83" t="n">
        <v>18</v>
      </c>
      <c r="F83" t="n">
        <v>25</v>
      </c>
      <c r="G83" t="n">
        <v>0</v>
      </c>
      <c r="H83" t="n">
        <v>5</v>
      </c>
      <c r="I83" t="n">
        <v>20</v>
      </c>
      <c r="J83" t="n">
        <v>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300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inlineStr">
        <is>
          <t>cab._gauntlets_+1</t>
        </is>
      </c>
      <c r="B84" t="n">
        <v>64</v>
      </c>
      <c r="C84" t="n">
        <v>26989</v>
      </c>
      <c r="D84" t="n">
        <v>10</v>
      </c>
      <c r="E84" t="n">
        <v>29</v>
      </c>
      <c r="F84" t="n">
        <v>37</v>
      </c>
      <c r="G84" t="n">
        <v>0</v>
      </c>
      <c r="H84" t="n">
        <v>8</v>
      </c>
      <c r="I84" t="n">
        <v>29</v>
      </c>
      <c r="J84" t="n">
        <v>19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400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inlineStr">
        <is>
          <t>cab._gauntlets_+2</t>
        </is>
      </c>
      <c r="B85" t="n">
        <v>64</v>
      </c>
      <c r="C85" t="n">
        <v>23203</v>
      </c>
      <c r="D85" t="n">
        <v>15</v>
      </c>
      <c r="E85" t="n">
        <v>34</v>
      </c>
      <c r="F85" t="n">
        <v>42</v>
      </c>
      <c r="G85" t="n">
        <v>0</v>
      </c>
      <c r="H85" t="n">
        <v>13</v>
      </c>
      <c r="I85" t="n">
        <v>34</v>
      </c>
      <c r="J85" t="n">
        <v>24</v>
      </c>
      <c r="K85" t="n">
        <v>48</v>
      </c>
      <c r="L85" t="n">
        <v>0</v>
      </c>
      <c r="M85" t="n">
        <v>28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400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inlineStr">
        <is>
          <t>cab._gauntlets_+3</t>
        </is>
      </c>
      <c r="B86" t="n">
        <v>64</v>
      </c>
      <c r="C86" t="n">
        <v>23538</v>
      </c>
      <c r="D86" t="n">
        <v>20</v>
      </c>
      <c r="E86" t="n">
        <v>39</v>
      </c>
      <c r="F86" t="n">
        <v>47</v>
      </c>
      <c r="G86" t="n">
        <v>0</v>
      </c>
      <c r="H86" t="n">
        <v>18</v>
      </c>
      <c r="I86" t="n">
        <v>39</v>
      </c>
      <c r="J86" t="n">
        <v>29</v>
      </c>
      <c r="K86" t="n">
        <v>63</v>
      </c>
      <c r="L86" t="n">
        <v>0</v>
      </c>
      <c r="M86" t="n">
        <v>38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400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inlineStr">
        <is>
          <t>cab._leggings</t>
        </is>
      </c>
      <c r="B87" t="n">
        <v>256</v>
      </c>
      <c r="C87" t="n">
        <v>27340</v>
      </c>
      <c r="D87" t="n">
        <v>25</v>
      </c>
      <c r="E87" t="n">
        <v>8</v>
      </c>
      <c r="F87" t="n">
        <v>11</v>
      </c>
      <c r="G87" t="n">
        <v>18</v>
      </c>
      <c r="H87" t="n">
        <v>0</v>
      </c>
      <c r="I87" t="n">
        <v>6</v>
      </c>
      <c r="J87" t="n">
        <v>17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300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inlineStr">
        <is>
          <t>cab._leggings_+1</t>
        </is>
      </c>
      <c r="B88" t="n">
        <v>256</v>
      </c>
      <c r="C88" t="n">
        <v>27341</v>
      </c>
      <c r="D88" t="n">
        <v>16</v>
      </c>
      <c r="E88" t="n">
        <v>12</v>
      </c>
      <c r="F88" t="n">
        <v>17</v>
      </c>
      <c r="G88" t="n">
        <v>29</v>
      </c>
      <c r="H88" t="n">
        <v>0</v>
      </c>
      <c r="I88" t="n">
        <v>10</v>
      </c>
      <c r="J88" t="n">
        <v>26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300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inlineStr">
        <is>
          <t>cab._leggings_+2</t>
        </is>
      </c>
      <c r="B89" t="n">
        <v>256</v>
      </c>
      <c r="C89" t="n">
        <v>23337</v>
      </c>
      <c r="D89" t="n">
        <v>21</v>
      </c>
      <c r="E89" t="n">
        <v>17</v>
      </c>
      <c r="F89" t="n">
        <v>22</v>
      </c>
      <c r="G89" t="n">
        <v>34</v>
      </c>
      <c r="H89" t="n">
        <v>0</v>
      </c>
      <c r="I89" t="n">
        <v>15</v>
      </c>
      <c r="J89" t="n">
        <v>31</v>
      </c>
      <c r="K89" t="n">
        <v>46</v>
      </c>
      <c r="L89" t="n">
        <v>0</v>
      </c>
      <c r="M89" t="n">
        <v>26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inlineStr">
        <is>
          <t>cab._leggings_+3</t>
        </is>
      </c>
      <c r="B90" t="n">
        <v>256</v>
      </c>
      <c r="C90" t="n">
        <v>23672</v>
      </c>
      <c r="D90" t="n">
        <v>26</v>
      </c>
      <c r="E90" t="n">
        <v>22</v>
      </c>
      <c r="F90" t="n">
        <v>27</v>
      </c>
      <c r="G90" t="n">
        <v>39</v>
      </c>
      <c r="H90" t="n">
        <v>0</v>
      </c>
      <c r="I90" t="n">
        <v>20</v>
      </c>
      <c r="J90" t="n">
        <v>36</v>
      </c>
      <c r="K90" t="n">
        <v>61</v>
      </c>
      <c r="L90" t="n">
        <v>0</v>
      </c>
      <c r="M90" t="n">
        <v>36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300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inlineStr">
        <is>
          <t>cab._surcoat</t>
        </is>
      </c>
      <c r="B91" t="n">
        <v>32</v>
      </c>
      <c r="C91" t="n">
        <v>26812</v>
      </c>
      <c r="D91" t="n">
        <v>18</v>
      </c>
      <c r="E91" t="n">
        <v>12</v>
      </c>
      <c r="F91" t="n">
        <v>18</v>
      </c>
      <c r="G91" t="n">
        <v>12</v>
      </c>
      <c r="H91" t="n">
        <v>12</v>
      </c>
      <c r="I91" t="n">
        <v>12</v>
      </c>
      <c r="J91" t="n">
        <v>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300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inlineStr">
        <is>
          <t>cab._surcoat_+1</t>
        </is>
      </c>
      <c r="B92" t="n">
        <v>32</v>
      </c>
      <c r="C92" t="n">
        <v>26813</v>
      </c>
      <c r="D92" t="n">
        <v>29</v>
      </c>
      <c r="E92" t="n">
        <v>19</v>
      </c>
      <c r="F92" t="n">
        <v>29</v>
      </c>
      <c r="G92" t="n">
        <v>19</v>
      </c>
      <c r="H92" t="n">
        <v>19</v>
      </c>
      <c r="I92" t="n">
        <v>19</v>
      </c>
      <c r="J92" t="n">
        <v>19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300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inlineStr">
        <is>
          <t>cab._surcoat_+2</t>
        </is>
      </c>
      <c r="B93" t="n">
        <v>32</v>
      </c>
      <c r="C93" t="n">
        <v>23136</v>
      </c>
      <c r="D93" t="n">
        <v>34</v>
      </c>
      <c r="E93" t="n">
        <v>24</v>
      </c>
      <c r="F93" t="n">
        <v>34</v>
      </c>
      <c r="G93" t="n">
        <v>24</v>
      </c>
      <c r="H93" t="n">
        <v>24</v>
      </c>
      <c r="I93" t="n">
        <v>24</v>
      </c>
      <c r="J93" t="n">
        <v>24</v>
      </c>
      <c r="K93" t="n">
        <v>50</v>
      </c>
      <c r="L93" t="n">
        <v>0</v>
      </c>
      <c r="M93" t="n">
        <v>30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300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inlineStr">
        <is>
          <t>cab._surcoat_+3</t>
        </is>
      </c>
      <c r="B94" t="n">
        <v>32</v>
      </c>
      <c r="C94" t="n">
        <v>23471</v>
      </c>
      <c r="D94" t="n">
        <v>39</v>
      </c>
      <c r="E94" t="n">
        <v>29</v>
      </c>
      <c r="F94" t="n">
        <v>39</v>
      </c>
      <c r="G94" t="n">
        <v>29</v>
      </c>
      <c r="H94" t="n">
        <v>29</v>
      </c>
      <c r="I94" t="n">
        <v>29</v>
      </c>
      <c r="J94" t="n">
        <v>29</v>
      </c>
      <c r="K94" t="n">
        <v>60</v>
      </c>
      <c r="L94" t="n">
        <v>0</v>
      </c>
      <c r="M94" t="n">
        <v>40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300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inlineStr">
        <is>
          <t>cacoethic_ring</t>
        </is>
      </c>
      <c r="B95" t="n">
        <v>24576</v>
      </c>
      <c r="C95" t="n">
        <v>10770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inlineStr">
        <is>
          <t>cacoethic_ring_+1</t>
        </is>
      </c>
      <c r="B96" t="n">
        <v>24576</v>
      </c>
      <c r="C96" t="n">
        <v>10771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inlineStr">
        <is>
          <t>candent_ring</t>
        </is>
      </c>
      <c r="B97" t="n">
        <v>24576</v>
      </c>
      <c r="C97" t="n">
        <v>28532</v>
      </c>
      <c r="D97" t="n">
        <v>6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inlineStr">
        <is>
          <t>canutes_helm</t>
        </is>
      </c>
      <c r="B98" t="n">
        <v>16</v>
      </c>
      <c r="C98" t="n">
        <v>10416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30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5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inlineStr">
        <is>
          <t>carm._sc._mail_+1</t>
        </is>
      </c>
      <c r="B99" t="n">
        <v>32</v>
      </c>
      <c r="C99" t="n">
        <v>26855</v>
      </c>
      <c r="D99" t="n">
        <v>29</v>
      </c>
      <c r="E99" t="n">
        <v>28</v>
      </c>
      <c r="F99" t="n">
        <v>25</v>
      </c>
      <c r="G99" t="n">
        <v>23</v>
      </c>
      <c r="H99" t="n">
        <v>26</v>
      </c>
      <c r="I99" t="n">
        <v>26</v>
      </c>
      <c r="J99" t="n">
        <v>26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inlineStr">
        <is>
          <t>carm._scale_mail</t>
        </is>
      </c>
      <c r="B100" t="n">
        <v>32</v>
      </c>
      <c r="C100" t="n">
        <v>26854</v>
      </c>
      <c r="D100" t="n">
        <v>29</v>
      </c>
      <c r="E100" t="n">
        <v>28</v>
      </c>
      <c r="F100" t="n">
        <v>25</v>
      </c>
      <c r="G100" t="n">
        <v>23</v>
      </c>
      <c r="H100" t="n">
        <v>26</v>
      </c>
      <c r="I100" t="n">
        <v>26</v>
      </c>
      <c r="J100" t="n">
        <v>26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400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inlineStr">
        <is>
          <t>carmine_cuisses</t>
        </is>
      </c>
      <c r="B101" t="n">
        <v>128</v>
      </c>
      <c r="C101" t="n">
        <v>27206</v>
      </c>
      <c r="D101" t="n">
        <v>30</v>
      </c>
      <c r="E101" t="n">
        <v>0</v>
      </c>
      <c r="F101" t="n">
        <v>17</v>
      </c>
      <c r="G101" t="n">
        <v>17</v>
      </c>
      <c r="H101" t="n">
        <v>29</v>
      </c>
      <c r="I101" t="n">
        <v>16</v>
      </c>
      <c r="J101" t="n">
        <v>16</v>
      </c>
      <c r="K101" t="n">
        <v>25</v>
      </c>
      <c r="L101" t="n">
        <v>0</v>
      </c>
      <c r="M101" t="n">
        <v>25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600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inlineStr">
        <is>
          <t>carmine_cuisses_+1</t>
        </is>
      </c>
      <c r="B102" t="n">
        <v>128</v>
      </c>
      <c r="C102" t="n">
        <v>27207</v>
      </c>
      <c r="D102" t="n">
        <v>30</v>
      </c>
      <c r="E102" t="n">
        <v>0</v>
      </c>
      <c r="F102" t="n">
        <v>17</v>
      </c>
      <c r="G102" t="n">
        <v>17</v>
      </c>
      <c r="H102" t="n">
        <v>29</v>
      </c>
      <c r="I102" t="n">
        <v>16</v>
      </c>
      <c r="J102" t="n">
        <v>16</v>
      </c>
      <c r="K102" t="n">
        <v>35</v>
      </c>
      <c r="L102" t="n">
        <v>0</v>
      </c>
      <c r="M102" t="n">
        <v>35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600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inlineStr">
        <is>
          <t>carmine_fin._ga.</t>
        </is>
      </c>
      <c r="B103" t="n">
        <v>64</v>
      </c>
      <c r="C103" t="n">
        <v>27030</v>
      </c>
      <c r="D103" t="n">
        <v>10</v>
      </c>
      <c r="E103" t="n">
        <v>33</v>
      </c>
      <c r="F103" t="n">
        <v>32</v>
      </c>
      <c r="G103" t="n">
        <v>11</v>
      </c>
      <c r="H103" t="n">
        <v>14</v>
      </c>
      <c r="I103" t="n">
        <v>32</v>
      </c>
      <c r="J103" t="n">
        <v>23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500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inlineStr">
        <is>
          <t>carmine_fin._ga._+1</t>
        </is>
      </c>
      <c r="B104" t="n">
        <v>64</v>
      </c>
      <c r="C104" t="n">
        <v>27031</v>
      </c>
      <c r="D104" t="n">
        <v>10</v>
      </c>
      <c r="E104" t="n">
        <v>33</v>
      </c>
      <c r="F104" t="n">
        <v>32</v>
      </c>
      <c r="G104" t="n">
        <v>12</v>
      </c>
      <c r="H104" t="n">
        <v>14</v>
      </c>
      <c r="I104" t="n">
        <v>32</v>
      </c>
      <c r="J104" t="n">
        <v>23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inlineStr">
        <is>
          <t>carmine_greaves</t>
        </is>
      </c>
      <c r="B105" t="n">
        <v>256</v>
      </c>
      <c r="C105" t="n">
        <v>27382</v>
      </c>
      <c r="D105" t="n">
        <v>14</v>
      </c>
      <c r="E105" t="n">
        <v>16</v>
      </c>
      <c r="F105" t="n">
        <v>15</v>
      </c>
      <c r="G105" t="n">
        <v>33</v>
      </c>
      <c r="H105" t="n">
        <v>0</v>
      </c>
      <c r="I105" t="n">
        <v>11</v>
      </c>
      <c r="J105" t="n">
        <v>28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3</v>
      </c>
      <c r="Q105" t="n">
        <v>0</v>
      </c>
      <c r="R105" t="n">
        <v>0</v>
      </c>
      <c r="S105" t="n">
        <v>400</v>
      </c>
      <c r="T105" t="n">
        <v>0</v>
      </c>
      <c r="U105" t="n">
        <v>0</v>
      </c>
      <c r="V105" t="n">
        <v>0</v>
      </c>
      <c r="W105" t="n">
        <v>7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inlineStr">
        <is>
          <t>carmine_greaves_+1</t>
        </is>
      </c>
      <c r="B106" t="n">
        <v>256</v>
      </c>
      <c r="C106" t="n">
        <v>27383</v>
      </c>
      <c r="D106" t="n">
        <v>14</v>
      </c>
      <c r="E106" t="n">
        <v>16</v>
      </c>
      <c r="F106" t="n">
        <v>15</v>
      </c>
      <c r="G106" t="n">
        <v>33</v>
      </c>
      <c r="H106" t="n">
        <v>0</v>
      </c>
      <c r="I106" t="n">
        <v>11</v>
      </c>
      <c r="J106" t="n">
        <v>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4</v>
      </c>
      <c r="Q106" t="n">
        <v>0</v>
      </c>
      <c r="R106" t="n">
        <v>0</v>
      </c>
      <c r="S106" t="n">
        <v>400</v>
      </c>
      <c r="T106" t="n">
        <v>0</v>
      </c>
      <c r="U106" t="n">
        <v>0</v>
      </c>
      <c r="V106" t="n">
        <v>0</v>
      </c>
      <c r="W106" t="n">
        <v>8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inlineStr">
        <is>
          <t>carmine_mask</t>
        </is>
      </c>
      <c r="B107" t="n">
        <v>16</v>
      </c>
      <c r="C107" t="n">
        <v>26678</v>
      </c>
      <c r="D107" t="n">
        <v>25</v>
      </c>
      <c r="E107" t="n">
        <v>25</v>
      </c>
      <c r="F107" t="n">
        <v>25</v>
      </c>
      <c r="G107" t="n">
        <v>21</v>
      </c>
      <c r="H107" t="n">
        <v>25</v>
      </c>
      <c r="I107" t="n">
        <v>21</v>
      </c>
      <c r="J107" t="n">
        <v>21</v>
      </c>
      <c r="K107" t="n">
        <v>0</v>
      </c>
      <c r="L107" t="n">
        <v>0</v>
      </c>
      <c r="M107" t="n">
        <v>28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800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inlineStr">
        <is>
          <t>carmine_mask_+1</t>
        </is>
      </c>
      <c r="B108" t="n">
        <v>16</v>
      </c>
      <c r="C108" t="n">
        <v>26679</v>
      </c>
      <c r="D108" t="n">
        <v>25</v>
      </c>
      <c r="E108" t="n">
        <v>25</v>
      </c>
      <c r="F108" t="n">
        <v>25</v>
      </c>
      <c r="G108" t="n">
        <v>21</v>
      </c>
      <c r="H108" t="n">
        <v>26</v>
      </c>
      <c r="I108" t="n">
        <v>21</v>
      </c>
      <c r="J108" t="n">
        <v>21</v>
      </c>
      <c r="K108" t="n">
        <v>0</v>
      </c>
      <c r="L108" t="n">
        <v>0</v>
      </c>
      <c r="M108" t="n">
        <v>38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800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inlineStr">
        <is>
          <t>caudata_belt</t>
        </is>
      </c>
      <c r="B109" t="n">
        <v>1024</v>
      </c>
      <c r="C109" t="n">
        <v>10844</v>
      </c>
      <c r="D109" t="n">
        <v>6</v>
      </c>
      <c r="E109" t="n">
        <v>0</v>
      </c>
      <c r="F109" t="n">
        <v>6</v>
      </c>
      <c r="G109" t="n">
        <v>0</v>
      </c>
      <c r="H109" t="n">
        <v>6</v>
      </c>
      <c r="I109" t="n">
        <v>0</v>
      </c>
      <c r="J109" t="n">
        <v>0</v>
      </c>
      <c r="K109" t="n">
        <v>15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</v>
      </c>
      <c r="AC109" t="n">
        <v>0</v>
      </c>
    </row>
    <row r="110">
      <c r="A110" t="inlineStr">
        <is>
          <t>cessance_earring</t>
        </is>
      </c>
      <c r="B110" t="n">
        <v>6144</v>
      </c>
      <c r="C110" t="n">
        <v>27541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6</v>
      </c>
      <c r="N110" t="n">
        <v>0</v>
      </c>
      <c r="O110" t="n">
        <v>0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3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inlineStr">
        <is>
          <t>cetl_belt</t>
        </is>
      </c>
      <c r="B111" t="n">
        <v>1024</v>
      </c>
      <c r="C111" t="n">
        <v>28460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4</v>
      </c>
      <c r="Q111" t="n">
        <v>0</v>
      </c>
      <c r="R111" t="n">
        <v>0</v>
      </c>
      <c r="S111" t="n">
        <v>500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inlineStr">
        <is>
          <t>chaac_belt</t>
        </is>
      </c>
      <c r="B112" t="n">
        <v>1024</v>
      </c>
      <c r="C112" t="n">
        <v>28450</v>
      </c>
      <c r="D112" t="n">
        <v>0</v>
      </c>
      <c r="E112" t="n">
        <v>5</v>
      </c>
      <c r="F112" t="n">
        <v>0</v>
      </c>
      <c r="G112" t="n">
        <v>5</v>
      </c>
      <c r="H112" t="n">
        <v>0</v>
      </c>
      <c r="I112" t="n">
        <v>0</v>
      </c>
      <c r="J112" t="n">
        <v>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inlineStr">
        <is>
          <t>chersos_helm_+1</t>
        </is>
      </c>
      <c r="B113" t="n">
        <v>16</v>
      </c>
      <c r="C113" t="n">
        <v>26698</v>
      </c>
      <c r="D113" t="n">
        <v>24</v>
      </c>
      <c r="E113" t="n">
        <v>16</v>
      </c>
      <c r="F113" t="n">
        <v>26</v>
      </c>
      <c r="G113" t="n">
        <v>16</v>
      </c>
      <c r="H113" t="n">
        <v>15</v>
      </c>
      <c r="I113" t="n">
        <v>15</v>
      </c>
      <c r="J113" t="n">
        <v>15</v>
      </c>
      <c r="K113" t="n">
        <v>0</v>
      </c>
      <c r="L113" t="n">
        <v>0</v>
      </c>
      <c r="M113" t="n">
        <v>27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800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inlineStr">
        <is>
          <t>cheruski_needle</t>
        </is>
      </c>
      <c r="B114" t="n">
        <v>8</v>
      </c>
      <c r="C114" t="n">
        <v>18470</v>
      </c>
      <c r="D114" t="n">
        <v>3</v>
      </c>
      <c r="E114" t="n">
        <v>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inlineStr">
        <is>
          <t>chev._armet_+1</t>
        </is>
      </c>
      <c r="B115" t="n">
        <v>16</v>
      </c>
      <c r="C115" t="n">
        <v>26753</v>
      </c>
      <c r="D115" t="n">
        <v>21</v>
      </c>
      <c r="E115" t="n">
        <v>15</v>
      </c>
      <c r="F115" t="n">
        <v>38</v>
      </c>
      <c r="G115" t="n">
        <v>15</v>
      </c>
      <c r="H115" t="n">
        <v>8</v>
      </c>
      <c r="I115" t="n">
        <v>8</v>
      </c>
      <c r="J115" t="n">
        <v>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inlineStr">
        <is>
          <t>chev._cuirass</t>
        </is>
      </c>
      <c r="B116" t="n">
        <v>32</v>
      </c>
      <c r="C116" t="n">
        <v>26910</v>
      </c>
      <c r="D116" t="n">
        <v>18</v>
      </c>
      <c r="E116" t="n">
        <v>11</v>
      </c>
      <c r="F116" t="n">
        <v>20</v>
      </c>
      <c r="G116" t="n">
        <v>11</v>
      </c>
      <c r="H116" t="n">
        <v>10</v>
      </c>
      <c r="I116" t="n">
        <v>10</v>
      </c>
      <c r="J116" t="n">
        <v>10</v>
      </c>
      <c r="K116" t="n">
        <v>20</v>
      </c>
      <c r="L116" t="n">
        <v>0</v>
      </c>
      <c r="M116" t="n">
        <v>20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300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inlineStr">
        <is>
          <t>chev._cuirass_+1</t>
        </is>
      </c>
      <c r="B117" t="n">
        <v>32</v>
      </c>
      <c r="C117" t="n">
        <v>26911</v>
      </c>
      <c r="D117" t="n">
        <v>29</v>
      </c>
      <c r="E117" t="n">
        <v>17</v>
      </c>
      <c r="F117" t="n">
        <v>32</v>
      </c>
      <c r="G117" t="n">
        <v>17</v>
      </c>
      <c r="H117" t="n">
        <v>16</v>
      </c>
      <c r="I117" t="n">
        <v>16</v>
      </c>
      <c r="J117" t="n">
        <v>16</v>
      </c>
      <c r="K117" t="n">
        <v>24</v>
      </c>
      <c r="L117" t="n">
        <v>0</v>
      </c>
      <c r="M117" t="n">
        <v>24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300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inlineStr">
        <is>
          <t>chev._cuisses_+1</t>
        </is>
      </c>
      <c r="B118" t="n">
        <v>128</v>
      </c>
      <c r="C118" t="n">
        <v>27250</v>
      </c>
      <c r="D118" t="n">
        <v>35</v>
      </c>
      <c r="E118" t="n">
        <v>0</v>
      </c>
      <c r="F118" t="n">
        <v>23</v>
      </c>
      <c r="G118" t="n">
        <v>15</v>
      </c>
      <c r="H118" t="n">
        <v>26</v>
      </c>
      <c r="I118" t="n">
        <v>10</v>
      </c>
      <c r="J118" t="n">
        <v>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500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inlineStr">
        <is>
          <t>chev._gauntlets</t>
        </is>
      </c>
      <c r="B119" t="n">
        <v>64</v>
      </c>
      <c r="C119" t="n">
        <v>27064</v>
      </c>
      <c r="D119" t="n">
        <v>13</v>
      </c>
      <c r="E119" t="n">
        <v>17</v>
      </c>
      <c r="F119" t="n">
        <v>26</v>
      </c>
      <c r="G119" t="n">
        <v>0</v>
      </c>
      <c r="H119" t="n">
        <v>4</v>
      </c>
      <c r="I119" t="n">
        <v>13</v>
      </c>
      <c r="J119" t="n">
        <v>10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400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inlineStr">
        <is>
          <t>chev._gauntlets_+1</t>
        </is>
      </c>
      <c r="B120" t="n">
        <v>64</v>
      </c>
      <c r="C120" t="n">
        <v>27065</v>
      </c>
      <c r="D120" t="n">
        <v>17</v>
      </c>
      <c r="E120" t="n">
        <v>28</v>
      </c>
      <c r="F120" t="n">
        <v>39</v>
      </c>
      <c r="G120" t="n">
        <v>0</v>
      </c>
      <c r="H120" t="n">
        <v>6</v>
      </c>
      <c r="I120" t="n">
        <v>21</v>
      </c>
      <c r="J120" t="n">
        <v>16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500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inlineStr">
        <is>
          <t>chev._sabatons</t>
        </is>
      </c>
      <c r="B121" t="n">
        <v>256</v>
      </c>
      <c r="C121" t="n">
        <v>27423</v>
      </c>
      <c r="D121" t="n">
        <v>12</v>
      </c>
      <c r="E121" t="n">
        <v>8</v>
      </c>
      <c r="F121" t="n">
        <v>12</v>
      </c>
      <c r="G121" t="n">
        <v>17</v>
      </c>
      <c r="H121" t="n">
        <v>0</v>
      </c>
      <c r="I121" t="n">
        <v>4</v>
      </c>
      <c r="J121" t="n">
        <v>12</v>
      </c>
      <c r="K121" t="n">
        <v>0</v>
      </c>
      <c r="L121" t="n">
        <v>0</v>
      </c>
      <c r="M121" t="n">
        <v>16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400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inlineStr">
        <is>
          <t>chev._sabatons_+1</t>
        </is>
      </c>
      <c r="B122" t="n">
        <v>256</v>
      </c>
      <c r="C122" t="n">
        <v>27424</v>
      </c>
      <c r="D122" t="n">
        <v>19</v>
      </c>
      <c r="E122" t="n">
        <v>12</v>
      </c>
      <c r="F122" t="n">
        <v>20</v>
      </c>
      <c r="G122" t="n">
        <v>28</v>
      </c>
      <c r="H122" t="n">
        <v>0</v>
      </c>
      <c r="I122" t="n">
        <v>7</v>
      </c>
      <c r="J122" t="n">
        <v>20</v>
      </c>
      <c r="K122" t="n">
        <v>0</v>
      </c>
      <c r="L122" t="n">
        <v>0</v>
      </c>
      <c r="M122" t="n">
        <v>26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500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inlineStr">
        <is>
          <t>chevaliers_armet</t>
        </is>
      </c>
      <c r="B123" t="n">
        <v>16</v>
      </c>
      <c r="C123" t="n">
        <v>26752</v>
      </c>
      <c r="D123" t="n">
        <v>13</v>
      </c>
      <c r="E123" t="n">
        <v>9</v>
      </c>
      <c r="F123" t="n">
        <v>24</v>
      </c>
      <c r="G123" t="n">
        <v>9</v>
      </c>
      <c r="H123" t="n">
        <v>5</v>
      </c>
      <c r="I123" t="n">
        <v>5</v>
      </c>
      <c r="J123" t="n">
        <v>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600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inlineStr">
        <is>
          <t>chevaliers_armet_+2</t>
        </is>
      </c>
      <c r="B124" t="n">
        <v>16</v>
      </c>
      <c r="C124" t="n">
        <v>23091</v>
      </c>
      <c r="D124" t="n">
        <v>31</v>
      </c>
      <c r="E124" t="n">
        <v>25</v>
      </c>
      <c r="F124" t="n">
        <v>53</v>
      </c>
      <c r="G124" t="n">
        <v>25</v>
      </c>
      <c r="H124" t="n">
        <v>18</v>
      </c>
      <c r="I124" t="n">
        <v>18</v>
      </c>
      <c r="J124" t="n">
        <v>18</v>
      </c>
      <c r="K124" t="n">
        <v>51</v>
      </c>
      <c r="L124" t="n">
        <v>0</v>
      </c>
      <c r="M124" t="n">
        <v>51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700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inlineStr">
        <is>
          <t>chevaliers_armet_+3</t>
        </is>
      </c>
      <c r="B125" t="n">
        <v>16</v>
      </c>
      <c r="C125" t="n">
        <v>23426</v>
      </c>
      <c r="D125" t="n">
        <v>36</v>
      </c>
      <c r="E125" t="n">
        <v>30</v>
      </c>
      <c r="F125" t="n">
        <v>58</v>
      </c>
      <c r="G125" t="n">
        <v>30</v>
      </c>
      <c r="H125" t="n">
        <v>23</v>
      </c>
      <c r="I125" t="n">
        <v>23</v>
      </c>
      <c r="J125" t="n">
        <v>23</v>
      </c>
      <c r="K125" t="n">
        <v>61</v>
      </c>
      <c r="L125" t="n">
        <v>0</v>
      </c>
      <c r="M125" t="n">
        <v>61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700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inlineStr">
        <is>
          <t>chevaliers_cuirass_+2</t>
        </is>
      </c>
      <c r="B126" t="n">
        <v>32</v>
      </c>
      <c r="C126" t="n">
        <v>23158</v>
      </c>
      <c r="D126" t="n">
        <v>39</v>
      </c>
      <c r="E126" t="n">
        <v>27</v>
      </c>
      <c r="F126" t="n">
        <v>47</v>
      </c>
      <c r="G126" t="n">
        <v>27</v>
      </c>
      <c r="H126" t="n">
        <v>26</v>
      </c>
      <c r="I126" t="n">
        <v>26</v>
      </c>
      <c r="J126" t="n">
        <v>26</v>
      </c>
      <c r="K126" t="n">
        <v>64</v>
      </c>
      <c r="L126" t="n">
        <v>0</v>
      </c>
      <c r="M126" t="n">
        <v>54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inlineStr">
        <is>
          <t>chevaliers_cuirass_+3</t>
        </is>
      </c>
      <c r="B127" t="n">
        <v>32</v>
      </c>
      <c r="C127" t="n">
        <v>23493</v>
      </c>
      <c r="D127" t="n">
        <v>44</v>
      </c>
      <c r="E127" t="n">
        <v>32</v>
      </c>
      <c r="F127" t="n">
        <v>52</v>
      </c>
      <c r="G127" t="n">
        <v>32</v>
      </c>
      <c r="H127" t="n">
        <v>31</v>
      </c>
      <c r="I127" t="n">
        <v>31</v>
      </c>
      <c r="J127" t="n">
        <v>31</v>
      </c>
      <c r="K127" t="n">
        <v>74</v>
      </c>
      <c r="L127" t="n">
        <v>0</v>
      </c>
      <c r="M127" t="n">
        <v>64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300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inlineStr">
        <is>
          <t>chevaliers_cuisses</t>
        </is>
      </c>
      <c r="B128" t="n">
        <v>128</v>
      </c>
      <c r="C128" t="n">
        <v>27249</v>
      </c>
      <c r="D128" t="n">
        <v>22</v>
      </c>
      <c r="E128" t="n">
        <v>0</v>
      </c>
      <c r="F128" t="n">
        <v>14</v>
      </c>
      <c r="G128" t="n">
        <v>9</v>
      </c>
      <c r="H128" t="n">
        <v>17</v>
      </c>
      <c r="I128" t="n">
        <v>6</v>
      </c>
      <c r="J128" t="n">
        <v>4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500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inlineStr">
        <is>
          <t>chevaliers_cuisses_+2</t>
        </is>
      </c>
      <c r="B129" t="n">
        <v>128</v>
      </c>
      <c r="C129" t="n">
        <v>23292</v>
      </c>
      <c r="D129" t="n">
        <v>45</v>
      </c>
      <c r="E129" t="n">
        <v>0</v>
      </c>
      <c r="F129" t="n">
        <v>38</v>
      </c>
      <c r="G129" t="n">
        <v>25</v>
      </c>
      <c r="H129" t="n">
        <v>36</v>
      </c>
      <c r="I129" t="n">
        <v>20</v>
      </c>
      <c r="J129" t="n">
        <v>17</v>
      </c>
      <c r="K129" t="n">
        <v>53</v>
      </c>
      <c r="L129" t="n">
        <v>0</v>
      </c>
      <c r="M129" t="n">
        <v>53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500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inlineStr">
        <is>
          <t>chevaliers_cuisses_+3</t>
        </is>
      </c>
      <c r="B130" t="n">
        <v>128</v>
      </c>
      <c r="C130" t="n">
        <v>23627</v>
      </c>
      <c r="D130" t="n">
        <v>50</v>
      </c>
      <c r="E130" t="n">
        <v>0</v>
      </c>
      <c r="F130" t="n">
        <v>43</v>
      </c>
      <c r="G130" t="n">
        <v>30</v>
      </c>
      <c r="H130" t="n">
        <v>41</v>
      </c>
      <c r="I130" t="n">
        <v>25</v>
      </c>
      <c r="J130" t="n">
        <v>22</v>
      </c>
      <c r="K130" t="n">
        <v>63</v>
      </c>
      <c r="L130" t="n">
        <v>0</v>
      </c>
      <c r="M130" t="n">
        <v>63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500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inlineStr">
        <is>
          <t>chevaliers_gauntlets_+2</t>
        </is>
      </c>
      <c r="B131" t="n">
        <v>64</v>
      </c>
      <c r="C131" t="n">
        <v>23225</v>
      </c>
      <c r="D131" t="n">
        <v>22</v>
      </c>
      <c r="E131" t="n">
        <v>38</v>
      </c>
      <c r="F131" t="n">
        <v>49</v>
      </c>
      <c r="G131" t="n">
        <v>0</v>
      </c>
      <c r="H131" t="n">
        <v>16</v>
      </c>
      <c r="I131" t="n">
        <v>31</v>
      </c>
      <c r="J131" t="n">
        <v>26</v>
      </c>
      <c r="K131" t="n">
        <v>52</v>
      </c>
      <c r="L131" t="n">
        <v>0</v>
      </c>
      <c r="M131" t="n">
        <v>52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500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inlineStr">
        <is>
          <t>chevaliers_gauntlets_+3</t>
        </is>
      </c>
      <c r="B132" t="n">
        <v>64</v>
      </c>
      <c r="C132" t="n">
        <v>23560</v>
      </c>
      <c r="D132" t="n">
        <v>27</v>
      </c>
      <c r="E132" t="n">
        <v>43</v>
      </c>
      <c r="F132" t="n">
        <v>54</v>
      </c>
      <c r="G132" t="n">
        <v>0</v>
      </c>
      <c r="H132" t="n">
        <v>21</v>
      </c>
      <c r="I132" t="n">
        <v>36</v>
      </c>
      <c r="J132" t="n">
        <v>31</v>
      </c>
      <c r="K132" t="n">
        <v>62</v>
      </c>
      <c r="L132" t="n">
        <v>0</v>
      </c>
      <c r="M132" t="n">
        <v>62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500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inlineStr">
        <is>
          <t>chevaliers_sabatons_+2</t>
        </is>
      </c>
      <c r="B133" t="n">
        <v>256</v>
      </c>
      <c r="C133" t="n">
        <v>23359</v>
      </c>
      <c r="D133" t="n">
        <v>29</v>
      </c>
      <c r="E133" t="n">
        <v>23</v>
      </c>
      <c r="F133" t="n">
        <v>35</v>
      </c>
      <c r="G133" t="n">
        <v>38</v>
      </c>
      <c r="H133" t="n">
        <v>0</v>
      </c>
      <c r="I133" t="n">
        <v>17</v>
      </c>
      <c r="J133" t="n">
        <v>30</v>
      </c>
      <c r="K133" t="n">
        <v>50</v>
      </c>
      <c r="L133" t="n">
        <v>0</v>
      </c>
      <c r="M133" t="n">
        <v>50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500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inlineStr">
        <is>
          <t>chevaliers_sabatons_+3</t>
        </is>
      </c>
      <c r="B134" t="n">
        <v>256</v>
      </c>
      <c r="C134" t="n">
        <v>23694</v>
      </c>
      <c r="D134" t="n">
        <v>34</v>
      </c>
      <c r="E134" t="n">
        <v>28</v>
      </c>
      <c r="F134" t="n">
        <v>40</v>
      </c>
      <c r="G134" t="n">
        <v>43</v>
      </c>
      <c r="H134" t="n">
        <v>0</v>
      </c>
      <c r="I134" t="n">
        <v>22</v>
      </c>
      <c r="J134" t="n">
        <v>35</v>
      </c>
      <c r="K134" t="n">
        <v>60</v>
      </c>
      <c r="L134" t="n">
        <v>0</v>
      </c>
      <c r="M134" t="n">
        <v>60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500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inlineStr">
        <is>
          <t>chiners_belt_+1</t>
        </is>
      </c>
      <c r="B135" t="n">
        <v>1024</v>
      </c>
      <c r="C135" t="n">
        <v>28438</v>
      </c>
      <c r="D135" t="n">
        <v>0</v>
      </c>
      <c r="E135" t="n">
        <v>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inlineStr">
        <is>
          <t>chirich_ring</t>
        </is>
      </c>
      <c r="B136" t="n">
        <v>24576</v>
      </c>
      <c r="C136" t="n">
        <v>26181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5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inlineStr">
        <is>
          <t>chirich_ring_+1</t>
        </is>
      </c>
      <c r="B137" t="n">
        <v>24576</v>
      </c>
      <c r="C137" t="n">
        <v>26182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6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inlineStr">
        <is>
          <t>chocaliztli_boots</t>
        </is>
      </c>
      <c r="B138" t="n">
        <v>256</v>
      </c>
      <c r="C138" t="n">
        <v>28343</v>
      </c>
      <c r="D138" t="n">
        <v>12</v>
      </c>
      <c r="E138" t="n">
        <v>9</v>
      </c>
      <c r="F138" t="n">
        <v>8</v>
      </c>
      <c r="G138" t="n">
        <v>17</v>
      </c>
      <c r="H138" t="n">
        <v>0</v>
      </c>
      <c r="I138" t="n">
        <v>5</v>
      </c>
      <c r="J138" t="n">
        <v>14</v>
      </c>
      <c r="K138" t="n">
        <v>0</v>
      </c>
      <c r="L138" t="n">
        <v>0</v>
      </c>
      <c r="M138" t="n">
        <v>10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400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inlineStr">
        <is>
          <t>chocaliztli_mask</t>
        </is>
      </c>
      <c r="B139" t="n">
        <v>16</v>
      </c>
      <c r="C139" t="n">
        <v>27780</v>
      </c>
      <c r="D139" t="n">
        <v>18</v>
      </c>
      <c r="E139" t="n">
        <v>13</v>
      </c>
      <c r="F139" t="n">
        <v>14</v>
      </c>
      <c r="G139" t="n">
        <v>16</v>
      </c>
      <c r="H139" t="n">
        <v>12</v>
      </c>
      <c r="I139" t="n">
        <v>15</v>
      </c>
      <c r="J139" t="n">
        <v>12</v>
      </c>
      <c r="K139" t="n">
        <v>0</v>
      </c>
      <c r="L139" t="n">
        <v>0</v>
      </c>
      <c r="M139" t="n">
        <v>15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700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inlineStr">
        <is>
          <t>choj_band</t>
        </is>
      </c>
      <c r="B140" t="n">
        <v>24576</v>
      </c>
      <c r="C140" t="n">
        <v>28575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inlineStr">
        <is>
          <t>chozor._coselete</t>
        </is>
      </c>
      <c r="B141" t="n">
        <v>32</v>
      </c>
      <c r="C141" t="n">
        <v>26971</v>
      </c>
      <c r="D141" t="n">
        <v>28</v>
      </c>
      <c r="E141" t="n">
        <v>30</v>
      </c>
      <c r="F141" t="n">
        <v>23</v>
      </c>
      <c r="G141" t="n">
        <v>29</v>
      </c>
      <c r="H141" t="n">
        <v>25</v>
      </c>
      <c r="I141" t="n">
        <v>24</v>
      </c>
      <c r="J141" t="n">
        <v>24</v>
      </c>
      <c r="K141" t="n">
        <v>0</v>
      </c>
      <c r="L141" t="n">
        <v>0</v>
      </c>
      <c r="M141" t="n">
        <v>20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400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inlineStr">
        <is>
          <t>chuqaba_belt</t>
        </is>
      </c>
      <c r="B142" t="n">
        <v>1024</v>
      </c>
      <c r="C142" t="n">
        <v>28459</v>
      </c>
      <c r="D142" t="n">
        <v>7</v>
      </c>
      <c r="E142" t="n">
        <v>0</v>
      </c>
      <c r="F142" t="n">
        <v>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500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inlineStr">
        <is>
          <t>cizin_breeches</t>
        </is>
      </c>
      <c r="B143" t="n">
        <v>128</v>
      </c>
      <c r="C143" t="n">
        <v>28192</v>
      </c>
      <c r="D143" t="n">
        <v>28</v>
      </c>
      <c r="E143" t="n">
        <v>0</v>
      </c>
      <c r="F143" t="n">
        <v>17</v>
      </c>
      <c r="G143" t="n">
        <v>13</v>
      </c>
      <c r="H143" t="n">
        <v>20</v>
      </c>
      <c r="I143" t="n">
        <v>10</v>
      </c>
      <c r="J143" t="n">
        <v>8</v>
      </c>
      <c r="K143" t="n">
        <v>10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0</v>
      </c>
      <c r="R143" t="n">
        <v>0</v>
      </c>
      <c r="S143" t="n">
        <v>500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inlineStr">
        <is>
          <t>cizin_breeches_+1</t>
        </is>
      </c>
      <c r="B144" t="n">
        <v>128</v>
      </c>
      <c r="C144" t="n">
        <v>28160</v>
      </c>
      <c r="D144" t="n">
        <v>33</v>
      </c>
      <c r="E144" t="n">
        <v>0</v>
      </c>
      <c r="F144" t="n">
        <v>19</v>
      </c>
      <c r="G144" t="n">
        <v>14</v>
      </c>
      <c r="H144" t="n">
        <v>23</v>
      </c>
      <c r="I144" t="n">
        <v>10</v>
      </c>
      <c r="J144" t="n">
        <v>8</v>
      </c>
      <c r="K144" t="n">
        <v>10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500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inlineStr">
        <is>
          <t>cizin_greaves</t>
        </is>
      </c>
      <c r="B145" t="n">
        <v>256</v>
      </c>
      <c r="C145" t="n">
        <v>28332</v>
      </c>
      <c r="D145" t="n">
        <v>13</v>
      </c>
      <c r="E145" t="n">
        <v>10</v>
      </c>
      <c r="F145" t="n">
        <v>14</v>
      </c>
      <c r="G145" t="n">
        <v>23</v>
      </c>
      <c r="H145" t="n">
        <v>0</v>
      </c>
      <c r="I145" t="n">
        <v>8</v>
      </c>
      <c r="J145" t="n">
        <v>21</v>
      </c>
      <c r="K145" t="n">
        <v>0</v>
      </c>
      <c r="L145" t="n">
        <v>0</v>
      </c>
      <c r="M145" t="n">
        <v>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400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inlineStr">
        <is>
          <t>cizin_greaves_+1</t>
        </is>
      </c>
      <c r="B146" t="n">
        <v>256</v>
      </c>
      <c r="C146" t="n">
        <v>28297</v>
      </c>
      <c r="D146" t="n">
        <v>14</v>
      </c>
      <c r="E146" t="n">
        <v>10</v>
      </c>
      <c r="F146" t="n">
        <v>15</v>
      </c>
      <c r="G146" t="n">
        <v>27</v>
      </c>
      <c r="H146" t="n">
        <v>0</v>
      </c>
      <c r="I146" t="n">
        <v>8</v>
      </c>
      <c r="J146" t="n">
        <v>24</v>
      </c>
      <c r="K146" t="n">
        <v>0</v>
      </c>
      <c r="L146" t="n">
        <v>0</v>
      </c>
      <c r="M146" t="n">
        <v>8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500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inlineStr">
        <is>
          <t>cizin_helm</t>
        </is>
      </c>
      <c r="B147" t="n">
        <v>16</v>
      </c>
      <c r="C147" t="n">
        <v>27768</v>
      </c>
      <c r="D147" t="n">
        <v>21</v>
      </c>
      <c r="E147" t="n">
        <v>16</v>
      </c>
      <c r="F147" t="n">
        <v>21</v>
      </c>
      <c r="G147" t="n">
        <v>16</v>
      </c>
      <c r="H147" t="n">
        <v>15</v>
      </c>
      <c r="I147" t="n">
        <v>15</v>
      </c>
      <c r="J147" t="n">
        <v>15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700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inlineStr">
        <is>
          <t>cizin_helm_+1</t>
        </is>
      </c>
      <c r="B148" t="n">
        <v>16</v>
      </c>
      <c r="C148" t="n">
        <v>27728</v>
      </c>
      <c r="D148" t="n">
        <v>23</v>
      </c>
      <c r="E148" t="n">
        <v>17</v>
      </c>
      <c r="F148" t="n">
        <v>23</v>
      </c>
      <c r="G148" t="n">
        <v>17</v>
      </c>
      <c r="H148" t="n">
        <v>15</v>
      </c>
      <c r="I148" t="n">
        <v>15</v>
      </c>
      <c r="J148" t="n">
        <v>15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800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inlineStr">
        <is>
          <t>cizin_mail</t>
        </is>
      </c>
      <c r="B149" t="n">
        <v>32</v>
      </c>
      <c r="C149" t="n">
        <v>27912</v>
      </c>
      <c r="D149" t="n">
        <v>25</v>
      </c>
      <c r="E149" t="n">
        <v>17</v>
      </c>
      <c r="F149" t="n">
        <v>25</v>
      </c>
      <c r="G149" t="n">
        <v>17</v>
      </c>
      <c r="H149" t="n">
        <v>17</v>
      </c>
      <c r="I149" t="n">
        <v>17</v>
      </c>
      <c r="J149" t="n">
        <v>17</v>
      </c>
      <c r="K149" t="n">
        <v>0</v>
      </c>
      <c r="L149" t="n">
        <v>0</v>
      </c>
      <c r="M149" t="n">
        <v>10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300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inlineStr">
        <is>
          <t>cizin_mail_+1</t>
        </is>
      </c>
      <c r="B150" t="n">
        <v>32</v>
      </c>
      <c r="C150" t="n">
        <v>27874</v>
      </c>
      <c r="D150" t="n">
        <v>29</v>
      </c>
      <c r="E150" t="n">
        <v>19</v>
      </c>
      <c r="F150" t="n">
        <v>29</v>
      </c>
      <c r="G150" t="n">
        <v>19</v>
      </c>
      <c r="H150" t="n">
        <v>19</v>
      </c>
      <c r="I150" t="n">
        <v>19</v>
      </c>
      <c r="J150" t="n">
        <v>19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300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inlineStr">
        <is>
          <t>cizin_mufflers</t>
        </is>
      </c>
      <c r="B151" t="n">
        <v>64</v>
      </c>
      <c r="C151" t="n">
        <v>28051</v>
      </c>
      <c r="D151" t="n">
        <v>8</v>
      </c>
      <c r="E151" t="n">
        <v>23</v>
      </c>
      <c r="F151" t="n">
        <v>26</v>
      </c>
      <c r="G151" t="n">
        <v>0</v>
      </c>
      <c r="H151" t="n">
        <v>7</v>
      </c>
      <c r="I151" t="n">
        <v>23</v>
      </c>
      <c r="J151" t="n">
        <v>17</v>
      </c>
      <c r="K151" t="n">
        <v>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300</v>
      </c>
      <c r="T151" t="n">
        <v>0</v>
      </c>
      <c r="U151" t="n">
        <v>0</v>
      </c>
      <c r="V151" t="n">
        <v>0</v>
      </c>
      <c r="W151" t="n">
        <v>5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inlineStr">
        <is>
          <t>cizin_mufflers_+1</t>
        </is>
      </c>
      <c r="B152" t="n">
        <v>64</v>
      </c>
      <c r="C152" t="n">
        <v>28018</v>
      </c>
      <c r="D152" t="n">
        <v>8</v>
      </c>
      <c r="E152" t="n">
        <v>27</v>
      </c>
      <c r="F152" t="n">
        <v>31</v>
      </c>
      <c r="G152" t="n">
        <v>0</v>
      </c>
      <c r="H152" t="n">
        <v>8</v>
      </c>
      <c r="I152" t="n">
        <v>23</v>
      </c>
      <c r="J152" t="n">
        <v>17</v>
      </c>
      <c r="K152" t="n">
        <v>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400</v>
      </c>
      <c r="T152" t="n">
        <v>0</v>
      </c>
      <c r="U152" t="n">
        <v>0</v>
      </c>
      <c r="V152" t="n">
        <v>0</v>
      </c>
      <c r="W152" t="n">
        <v>5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inlineStr">
        <is>
          <t>cloud_hairpin_+1</t>
        </is>
      </c>
      <c r="B153" t="n">
        <v>512</v>
      </c>
      <c r="C153" t="n">
        <v>28351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inlineStr">
        <is>
          <t>coiste_bodhar</t>
        </is>
      </c>
      <c r="B154" t="n">
        <v>8</v>
      </c>
      <c r="C154" t="n">
        <v>21431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inlineStr">
        <is>
          <t>counts_cuffs</t>
        </is>
      </c>
      <c r="B155" t="n">
        <v>64</v>
      </c>
      <c r="C155" t="n">
        <v>27096</v>
      </c>
      <c r="D155" t="n">
        <v>10</v>
      </c>
      <c r="E155" t="n">
        <v>34</v>
      </c>
      <c r="F155" t="n">
        <v>30</v>
      </c>
      <c r="G155" t="n">
        <v>6</v>
      </c>
      <c r="H155" t="n">
        <v>10</v>
      </c>
      <c r="I155" t="n">
        <v>25</v>
      </c>
      <c r="J155" t="n">
        <v>12</v>
      </c>
      <c r="K155" t="n">
        <v>30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300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inlineStr">
        <is>
          <t>crepuscular_helm</t>
        </is>
      </c>
      <c r="B156" t="n">
        <v>16</v>
      </c>
      <c r="C156" t="n">
        <v>23797</v>
      </c>
      <c r="D156" t="n">
        <v>41</v>
      </c>
      <c r="E156" t="n">
        <v>28</v>
      </c>
      <c r="F156" t="n">
        <v>48</v>
      </c>
      <c r="G156" t="n">
        <v>29</v>
      </c>
      <c r="H156" t="n">
        <v>27</v>
      </c>
      <c r="I156" t="n">
        <v>31</v>
      </c>
      <c r="J156" t="n">
        <v>29</v>
      </c>
      <c r="K156" t="n">
        <v>60</v>
      </c>
      <c r="L156" t="n">
        <v>0</v>
      </c>
      <c r="M156" t="n">
        <v>20</v>
      </c>
      <c r="N156" t="n">
        <v>0</v>
      </c>
      <c r="O156" t="n">
        <v>0</v>
      </c>
      <c r="P156" t="n">
        <v>0</v>
      </c>
      <c r="Q156" t="n">
        <v>4</v>
      </c>
      <c r="R156" t="n">
        <v>0</v>
      </c>
      <c r="S156" t="n">
        <v>400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inlineStr">
        <is>
          <t>crepuscular_mail</t>
        </is>
      </c>
      <c r="B157" t="n">
        <v>32</v>
      </c>
      <c r="C157" t="n">
        <v>23798</v>
      </c>
      <c r="D157" t="n">
        <v>50</v>
      </c>
      <c r="E157" t="n">
        <v>33</v>
      </c>
      <c r="F157" t="n">
        <v>50</v>
      </c>
      <c r="G157" t="n">
        <v>33</v>
      </c>
      <c r="H157" t="n">
        <v>32</v>
      </c>
      <c r="I157" t="n">
        <v>36</v>
      </c>
      <c r="J157" t="n">
        <v>34</v>
      </c>
      <c r="K157" t="n">
        <v>20</v>
      </c>
      <c r="L157" t="n">
        <v>0</v>
      </c>
      <c r="M157" t="n">
        <v>55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200</v>
      </c>
      <c r="T157" t="n">
        <v>0</v>
      </c>
      <c r="U157" t="n">
        <v>0</v>
      </c>
      <c r="V157" t="n">
        <v>0</v>
      </c>
      <c r="W157" t="n">
        <v>10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inlineStr">
        <is>
          <t>crepuscular_pebble</t>
        </is>
      </c>
      <c r="B158" t="n">
        <v>8</v>
      </c>
      <c r="C158" t="n">
        <v>22300</v>
      </c>
      <c r="D158" t="n">
        <v>3</v>
      </c>
      <c r="E158" t="n">
        <v>0</v>
      </c>
      <c r="F158" t="n">
        <v>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inlineStr">
        <is>
          <t>crusher_gauntlets</t>
        </is>
      </c>
      <c r="B159" t="n">
        <v>64</v>
      </c>
      <c r="C159" t="n">
        <v>27044</v>
      </c>
      <c r="D159" t="n">
        <v>10</v>
      </c>
      <c r="E159" t="n">
        <v>29</v>
      </c>
      <c r="F159" t="n">
        <v>38</v>
      </c>
      <c r="G159" t="n">
        <v>5</v>
      </c>
      <c r="H159" t="n">
        <v>8</v>
      </c>
      <c r="I159" t="n">
        <v>25</v>
      </c>
      <c r="J159" t="n">
        <v>19</v>
      </c>
      <c r="K159" t="n">
        <v>24</v>
      </c>
      <c r="L159" t="n">
        <v>0</v>
      </c>
      <c r="M159" t="n">
        <v>24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400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inlineStr">
        <is>
          <t>cuamiz_collar</t>
        </is>
      </c>
      <c r="B160" t="n">
        <v>512</v>
      </c>
      <c r="C160" t="n">
        <v>28386</v>
      </c>
      <c r="D160" t="n">
        <v>3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inlineStr">
        <is>
          <t>da._nodowa_+1</t>
        </is>
      </c>
      <c r="B161" t="n">
        <v>512</v>
      </c>
      <c r="C161" t="n">
        <v>28375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6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</row>
    <row r="162">
      <c r="A162" t="inlineStr">
        <is>
          <t>dagaz_ring</t>
        </is>
      </c>
      <c r="B162" t="n">
        <v>24576</v>
      </c>
      <c r="C162" t="n">
        <v>10797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inlineStr">
        <is>
          <t>dagon_breast.</t>
        </is>
      </c>
      <c r="B163" t="n">
        <v>32</v>
      </c>
      <c r="C163" t="n">
        <v>25785</v>
      </c>
      <c r="D163" t="n">
        <v>40</v>
      </c>
      <c r="E163" t="n">
        <v>30</v>
      </c>
      <c r="F163" t="n">
        <v>40</v>
      </c>
      <c r="G163" t="n">
        <v>30</v>
      </c>
      <c r="H163" t="n">
        <v>30</v>
      </c>
      <c r="I163" t="n">
        <v>30</v>
      </c>
      <c r="J163" t="n">
        <v>30</v>
      </c>
      <c r="K163" t="n">
        <v>45</v>
      </c>
      <c r="L163" t="n">
        <v>0</v>
      </c>
      <c r="M163" t="n">
        <v>45</v>
      </c>
      <c r="N163" t="n">
        <v>4</v>
      </c>
      <c r="O163" t="n">
        <v>0</v>
      </c>
      <c r="P163" t="n">
        <v>0</v>
      </c>
      <c r="Q163" t="n">
        <v>5</v>
      </c>
      <c r="R163" t="n">
        <v>0</v>
      </c>
      <c r="S163" t="n">
        <v>100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inlineStr">
        <is>
          <t>daihanshi_habaki</t>
        </is>
      </c>
      <c r="B164" t="n">
        <v>256</v>
      </c>
      <c r="C164" t="n">
        <v>28313</v>
      </c>
      <c r="D164" t="n">
        <v>12</v>
      </c>
      <c r="E164" t="n">
        <v>31</v>
      </c>
      <c r="F164" t="n">
        <v>12</v>
      </c>
      <c r="G164" t="n">
        <v>37</v>
      </c>
      <c r="H164" t="n">
        <v>0</v>
      </c>
      <c r="I164" t="n">
        <v>12</v>
      </c>
      <c r="J164" t="n">
        <v>30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600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inlineStr">
        <is>
          <t>dakatsu_nodowa</t>
        </is>
      </c>
      <c r="B165" t="n">
        <v>512</v>
      </c>
      <c r="C165" t="n">
        <v>28374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5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inlineStr">
        <is>
          <t>dashing_subligar</t>
        </is>
      </c>
      <c r="B166" t="n">
        <v>128</v>
      </c>
      <c r="C166" t="n">
        <v>25849</v>
      </c>
      <c r="D166" t="n">
        <v>29</v>
      </c>
      <c r="E166" t="n">
        <v>0</v>
      </c>
      <c r="F166" t="n">
        <v>16</v>
      </c>
      <c r="G166" t="n">
        <v>20</v>
      </c>
      <c r="H166" t="n">
        <v>30</v>
      </c>
      <c r="I166" t="n">
        <v>17</v>
      </c>
      <c r="J166" t="n">
        <v>11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600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inlineStr">
        <is>
          <t>dauntless_mantle</t>
        </is>
      </c>
      <c r="B167" t="n">
        <v>32768</v>
      </c>
      <c r="C167" t="n">
        <v>10999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13</v>
      </c>
      <c r="L167" t="n">
        <v>0</v>
      </c>
      <c r="M167" t="n">
        <v>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inlineStr">
        <is>
          <t>dawn_earring</t>
        </is>
      </c>
      <c r="B168" t="n">
        <v>6144</v>
      </c>
      <c r="C168" t="n">
        <v>28512</v>
      </c>
      <c r="D168" t="n">
        <v>0</v>
      </c>
      <c r="E168" t="n">
        <v>3</v>
      </c>
      <c r="F168" t="n">
        <v>0</v>
      </c>
      <c r="G168" t="n">
        <v>3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inlineStr">
        <is>
          <t>defiant_collar</t>
        </is>
      </c>
      <c r="B169" t="n">
        <v>512</v>
      </c>
      <c r="C169" t="n">
        <v>27506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8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inlineStr">
        <is>
          <t>despair_helm</t>
        </is>
      </c>
      <c r="B170" t="n">
        <v>16</v>
      </c>
      <c r="C170" t="n">
        <v>26792</v>
      </c>
      <c r="D170" t="n">
        <v>21</v>
      </c>
      <c r="E170" t="n">
        <v>21</v>
      </c>
      <c r="F170" t="n">
        <v>20</v>
      </c>
      <c r="G170" t="n">
        <v>20</v>
      </c>
      <c r="H170" t="n">
        <v>20</v>
      </c>
      <c r="I170" t="n">
        <v>20</v>
      </c>
      <c r="J170" t="n">
        <v>20</v>
      </c>
      <c r="K170" t="n">
        <v>20</v>
      </c>
      <c r="L170" t="n">
        <v>0</v>
      </c>
      <c r="M170" t="n">
        <v>20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800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inlineStr">
        <is>
          <t>deviant_necklace</t>
        </is>
      </c>
      <c r="B171" t="n">
        <v>512</v>
      </c>
      <c r="C171" t="n">
        <v>27507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inlineStr">
        <is>
          <t>dhanurveda_ring</t>
        </is>
      </c>
      <c r="B172" t="n">
        <v>24576</v>
      </c>
      <c r="C172" t="n">
        <v>10784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5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inlineStr">
        <is>
          <t>diama._sollerets</t>
        </is>
      </c>
      <c r="B173" t="n">
        <v>256</v>
      </c>
      <c r="C173" t="n">
        <v>27466</v>
      </c>
      <c r="D173" t="n">
        <v>16</v>
      </c>
      <c r="E173" t="n">
        <v>12</v>
      </c>
      <c r="F173" t="n">
        <v>17</v>
      </c>
      <c r="G173" t="n">
        <v>29</v>
      </c>
      <c r="H173" t="n">
        <v>0</v>
      </c>
      <c r="I173" t="n">
        <v>10</v>
      </c>
      <c r="J173" t="n">
        <v>26</v>
      </c>
      <c r="K173" t="n">
        <v>0</v>
      </c>
      <c r="L173" t="n">
        <v>20</v>
      </c>
      <c r="M173" t="n">
        <v>20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300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inlineStr">
        <is>
          <t>digni._earring</t>
        </is>
      </c>
      <c r="B174" t="n">
        <v>6144</v>
      </c>
      <c r="C174" t="n">
        <v>27547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3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inlineStr">
        <is>
          <t>donar_gun</t>
        </is>
      </c>
      <c r="B175" t="n">
        <v>4</v>
      </c>
      <c r="C175" t="n">
        <v>21274</v>
      </c>
      <c r="D175" t="n">
        <v>0</v>
      </c>
      <c r="E175" t="n">
        <v>5</v>
      </c>
      <c r="F175" t="n">
        <v>0</v>
      </c>
      <c r="G175" t="n">
        <v>5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inlineStr">
        <is>
          <t>drachenhorn</t>
        </is>
      </c>
      <c r="B176" t="n">
        <v>16</v>
      </c>
      <c r="C176" t="n">
        <v>10912</v>
      </c>
      <c r="D176" t="n">
        <v>12</v>
      </c>
      <c r="E176" t="n">
        <v>12</v>
      </c>
      <c r="F176" t="n">
        <v>12</v>
      </c>
      <c r="G176" t="n">
        <v>0</v>
      </c>
      <c r="H176" t="n">
        <v>12</v>
      </c>
      <c r="I176" t="n">
        <v>12</v>
      </c>
      <c r="J176" t="n">
        <v>0</v>
      </c>
      <c r="K176" t="n">
        <v>0</v>
      </c>
      <c r="L176" t="n">
        <v>5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inlineStr">
        <is>
          <t>dread_jupon</t>
        </is>
      </c>
      <c r="B177" t="n">
        <v>32</v>
      </c>
      <c r="C177" t="n">
        <v>27858</v>
      </c>
      <c r="D177" t="n">
        <v>27</v>
      </c>
      <c r="E177" t="n">
        <v>37</v>
      </c>
      <c r="F177" t="n">
        <v>27</v>
      </c>
      <c r="G177" t="n">
        <v>36</v>
      </c>
      <c r="H177" t="n">
        <v>26</v>
      </c>
      <c r="I177" t="n">
        <v>26</v>
      </c>
      <c r="J177" t="n">
        <v>26</v>
      </c>
      <c r="K177" t="n">
        <v>0</v>
      </c>
      <c r="L177" t="n">
        <v>0</v>
      </c>
      <c r="M177" t="n">
        <v>10</v>
      </c>
      <c r="N177" t="n">
        <v>0</v>
      </c>
      <c r="O177" t="n">
        <v>0</v>
      </c>
      <c r="P177" t="n">
        <v>2</v>
      </c>
      <c r="Q177" t="n">
        <v>0</v>
      </c>
      <c r="R177" t="n">
        <v>0</v>
      </c>
      <c r="S177" t="n">
        <v>400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inlineStr">
        <is>
          <t>dudgeon_earring</t>
        </is>
      </c>
      <c r="B178" t="n">
        <v>6144</v>
      </c>
      <c r="C178" t="n">
        <v>28522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inlineStr">
        <is>
          <t>dumakulems_ring</t>
        </is>
      </c>
      <c r="B179" t="n">
        <v>24576</v>
      </c>
      <c r="C179" t="n">
        <v>28530</v>
      </c>
      <c r="D179" t="n">
        <v>0</v>
      </c>
      <c r="E179" t="n">
        <v>4</v>
      </c>
      <c r="F179" t="n">
        <v>0</v>
      </c>
      <c r="G179" t="n">
        <v>4</v>
      </c>
      <c r="H179" t="n">
        <v>0</v>
      </c>
      <c r="I179" t="n">
        <v>0</v>
      </c>
      <c r="J179" t="n">
        <v>0</v>
      </c>
      <c r="K179" t="n">
        <v>3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inlineStr">
        <is>
          <t>durgai_leggings</t>
        </is>
      </c>
      <c r="B180" t="n">
        <v>256</v>
      </c>
      <c r="C180" t="n">
        <v>28287</v>
      </c>
      <c r="D180" t="n">
        <v>12</v>
      </c>
      <c r="E180" t="n">
        <v>24</v>
      </c>
      <c r="F180" t="n">
        <v>12</v>
      </c>
      <c r="G180" t="n">
        <v>37</v>
      </c>
      <c r="H180" t="n">
        <v>0</v>
      </c>
      <c r="I180" t="n">
        <v>12</v>
      </c>
      <c r="J180" t="n">
        <v>30</v>
      </c>
      <c r="K180" t="n">
        <v>0</v>
      </c>
      <c r="L180" t="n">
        <v>0</v>
      </c>
      <c r="M180" t="n">
        <v>15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400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inlineStr">
        <is>
          <t>dux_cuisses</t>
        </is>
      </c>
      <c r="B181" t="n">
        <v>128</v>
      </c>
      <c r="C181" t="n">
        <v>10346</v>
      </c>
      <c r="D181" t="n">
        <v>7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</row>
    <row r="182">
      <c r="A182" t="inlineStr">
        <is>
          <t>dux_cuisses_+1</t>
        </is>
      </c>
      <c r="B182" t="n">
        <v>128</v>
      </c>
      <c r="C182" t="n">
        <v>10347</v>
      </c>
      <c r="D182" t="n">
        <v>8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inlineStr">
        <is>
          <t>dux_fng._gnt.</t>
        </is>
      </c>
      <c r="B183" t="n">
        <v>64</v>
      </c>
      <c r="C183" t="n">
        <v>10316</v>
      </c>
      <c r="D183" t="n">
        <v>0</v>
      </c>
      <c r="E183" t="n">
        <v>0</v>
      </c>
      <c r="F183" t="n">
        <v>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inlineStr">
        <is>
          <t>dux_fng._gnt._+1</t>
        </is>
      </c>
      <c r="B184" t="n">
        <v>64</v>
      </c>
      <c r="C184" t="n">
        <v>10317</v>
      </c>
      <c r="D184" t="n">
        <v>0</v>
      </c>
      <c r="E184" t="n">
        <v>0</v>
      </c>
      <c r="F184" t="n">
        <v>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inlineStr">
        <is>
          <t>dux_greaves</t>
        </is>
      </c>
      <c r="B185" t="n">
        <v>256</v>
      </c>
      <c r="C185" t="n">
        <v>10363</v>
      </c>
      <c r="D185" t="n">
        <v>0</v>
      </c>
      <c r="E185" t="n">
        <v>0</v>
      </c>
      <c r="F185" t="n">
        <v>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9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inlineStr">
        <is>
          <t>dux_greaves_+1</t>
        </is>
      </c>
      <c r="B186" t="n">
        <v>256</v>
      </c>
      <c r="C186" t="n">
        <v>10364</v>
      </c>
      <c r="D186" t="n">
        <v>0</v>
      </c>
      <c r="E186" t="n">
        <v>0</v>
      </c>
      <c r="F186" t="n">
        <v>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inlineStr">
        <is>
          <t>dux_sc._mail_+1</t>
        </is>
      </c>
      <c r="B187" t="n">
        <v>32</v>
      </c>
      <c r="C187" t="n">
        <v>10273</v>
      </c>
      <c r="D187" t="n">
        <v>10</v>
      </c>
      <c r="E187" t="n">
        <v>0</v>
      </c>
      <c r="F187" t="n">
        <v>10</v>
      </c>
      <c r="G187" t="n">
        <v>0</v>
      </c>
      <c r="H187" t="n">
        <v>0</v>
      </c>
      <c r="I187" t="n">
        <v>0</v>
      </c>
      <c r="J187" t="n">
        <v>0</v>
      </c>
      <c r="K187" t="n">
        <v>16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inlineStr">
        <is>
          <t>dux_scale_mail</t>
        </is>
      </c>
      <c r="B188" t="n">
        <v>32</v>
      </c>
      <c r="C188" t="n">
        <v>10272</v>
      </c>
      <c r="D188" t="n">
        <v>9</v>
      </c>
      <c r="E188" t="n">
        <v>0</v>
      </c>
      <c r="F188" t="n">
        <v>9</v>
      </c>
      <c r="G188" t="n">
        <v>0</v>
      </c>
      <c r="H188" t="n">
        <v>0</v>
      </c>
      <c r="I188" t="n">
        <v>0</v>
      </c>
      <c r="J188" t="n">
        <v>0</v>
      </c>
      <c r="K188" t="n">
        <v>15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inlineStr">
        <is>
          <t>dux_visor</t>
        </is>
      </c>
      <c r="B189" t="n">
        <v>16</v>
      </c>
      <c r="C189" t="n">
        <v>10434</v>
      </c>
      <c r="D189" t="n">
        <v>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13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inlineStr">
        <is>
          <t>dux_visor_+1</t>
        </is>
      </c>
      <c r="B190" t="n">
        <v>16</v>
      </c>
      <c r="C190" t="n">
        <v>10435</v>
      </c>
      <c r="D190" t="n">
        <v>6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inlineStr">
        <is>
          <t>dynamic_belt</t>
        </is>
      </c>
      <c r="B191" t="n">
        <v>1024</v>
      </c>
      <c r="C191" t="n">
        <v>28466</v>
      </c>
      <c r="D191" t="n">
        <v>3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500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inlineStr">
        <is>
          <t>dynamic_belt_+1</t>
        </is>
      </c>
      <c r="B192" t="n">
        <v>1024</v>
      </c>
      <c r="C192" t="n">
        <v>28467</v>
      </c>
      <c r="D192" t="n">
        <v>4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600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inlineStr">
        <is>
          <t>eabani_earring</t>
        </is>
      </c>
      <c r="B193" t="n">
        <v>6144</v>
      </c>
      <c r="C193" t="n">
        <v>27540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4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inlineStr">
        <is>
          <t>ej_necklace</t>
        </is>
      </c>
      <c r="B194" t="n">
        <v>512</v>
      </c>
      <c r="C194" t="n">
        <v>28404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inlineStr">
        <is>
          <t>ej_necklace_+1</t>
        </is>
      </c>
      <c r="B195" t="n">
        <v>512</v>
      </c>
      <c r="C195" t="n">
        <v>28405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inlineStr">
        <is>
          <t>ejekamal_boots</t>
        </is>
      </c>
      <c r="B196" t="n">
        <v>256</v>
      </c>
      <c r="C196" t="n">
        <v>28305</v>
      </c>
      <c r="D196" t="n">
        <v>13</v>
      </c>
      <c r="E196" t="n">
        <v>15</v>
      </c>
      <c r="F196" t="n">
        <v>13</v>
      </c>
      <c r="G196" t="n">
        <v>27</v>
      </c>
      <c r="H196" t="n">
        <v>0</v>
      </c>
      <c r="I196" t="n">
        <v>8</v>
      </c>
      <c r="J196" t="n">
        <v>23</v>
      </c>
      <c r="K196" t="n">
        <v>0</v>
      </c>
      <c r="L196" t="n">
        <v>0</v>
      </c>
      <c r="M196" t="n">
        <v>12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500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inlineStr">
        <is>
          <t>el_bracers_+1</t>
        </is>
      </c>
      <c r="B197" t="n">
        <v>64</v>
      </c>
      <c r="C197" t="n">
        <v>24289</v>
      </c>
      <c r="D197" t="n">
        <v>25</v>
      </c>
      <c r="E197" t="n">
        <v>25</v>
      </c>
      <c r="F197" t="n">
        <v>25</v>
      </c>
      <c r="G197" t="n">
        <v>25</v>
      </c>
      <c r="H197" t="n">
        <v>33</v>
      </c>
      <c r="I197" t="n">
        <v>25</v>
      </c>
      <c r="J197" t="n">
        <v>25</v>
      </c>
      <c r="K197" t="n">
        <v>40</v>
      </c>
      <c r="L197" t="n">
        <v>0</v>
      </c>
      <c r="M197" t="n">
        <v>40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400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inlineStr">
        <is>
          <t>emet_harness_+1</t>
        </is>
      </c>
      <c r="B198" t="n">
        <v>32</v>
      </c>
      <c r="C198" t="n">
        <v>26871</v>
      </c>
      <c r="D198" t="n">
        <v>25</v>
      </c>
      <c r="E198" t="n">
        <v>24</v>
      </c>
      <c r="F198" t="n">
        <v>25</v>
      </c>
      <c r="G198" t="n">
        <v>23</v>
      </c>
      <c r="H198" t="n">
        <v>23</v>
      </c>
      <c r="I198" t="n">
        <v>23</v>
      </c>
      <c r="J198" t="n">
        <v>23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400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inlineStr">
        <is>
          <t>emi._gambieras_+1</t>
        </is>
      </c>
      <c r="B199" t="n">
        <v>256</v>
      </c>
      <c r="C199" t="n">
        <v>27470</v>
      </c>
      <c r="D199" t="n">
        <v>17</v>
      </c>
      <c r="E199" t="n">
        <v>23</v>
      </c>
      <c r="F199" t="n">
        <v>12</v>
      </c>
      <c r="G199" t="n">
        <v>38</v>
      </c>
      <c r="H199" t="n">
        <v>0</v>
      </c>
      <c r="I199" t="n">
        <v>16</v>
      </c>
      <c r="J199" t="n">
        <v>32</v>
      </c>
      <c r="K199" t="n">
        <v>33</v>
      </c>
      <c r="L199" t="n">
        <v>0</v>
      </c>
      <c r="M199" t="n">
        <v>33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300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inlineStr">
        <is>
          <t>emi._gauntlets_+1</t>
        </is>
      </c>
      <c r="B200" t="n">
        <v>64</v>
      </c>
      <c r="C200" t="n">
        <v>27114</v>
      </c>
      <c r="D200" t="n">
        <v>11</v>
      </c>
      <c r="E200" t="n">
        <v>34</v>
      </c>
      <c r="F200" t="n">
        <v>32</v>
      </c>
      <c r="G200" t="n">
        <v>7</v>
      </c>
      <c r="H200" t="n">
        <v>16</v>
      </c>
      <c r="I200" t="n">
        <v>30</v>
      </c>
      <c r="J200" t="n">
        <v>19</v>
      </c>
      <c r="K200" t="n">
        <v>0</v>
      </c>
      <c r="L200" t="n">
        <v>0</v>
      </c>
      <c r="M200" t="n">
        <v>37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400</v>
      </c>
      <c r="T200" t="n">
        <v>0</v>
      </c>
      <c r="U200" t="n">
        <v>0</v>
      </c>
      <c r="V200" t="n">
        <v>0</v>
      </c>
      <c r="W200" t="n">
        <v>7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inlineStr">
        <is>
          <t>emicho_coronet</t>
        </is>
      </c>
      <c r="B201" t="n">
        <v>16</v>
      </c>
      <c r="C201" t="n">
        <v>25609</v>
      </c>
      <c r="D201" t="n">
        <v>20</v>
      </c>
      <c r="E201" t="n">
        <v>19</v>
      </c>
      <c r="F201" t="n">
        <v>15</v>
      </c>
      <c r="G201" t="n">
        <v>20</v>
      </c>
      <c r="H201" t="n">
        <v>19</v>
      </c>
      <c r="I201" t="n">
        <v>16</v>
      </c>
      <c r="J201" t="n">
        <v>17</v>
      </c>
      <c r="K201" t="n">
        <v>25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700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inlineStr">
        <is>
          <t>emicho_coronet_+1</t>
        </is>
      </c>
      <c r="B202" t="n">
        <v>16</v>
      </c>
      <c r="C202" t="n">
        <v>25610</v>
      </c>
      <c r="D202" t="n">
        <v>20</v>
      </c>
      <c r="E202" t="n">
        <v>19</v>
      </c>
      <c r="F202" t="n">
        <v>15</v>
      </c>
      <c r="G202" t="n">
        <v>20</v>
      </c>
      <c r="H202" t="n">
        <v>19</v>
      </c>
      <c r="I202" t="n">
        <v>16</v>
      </c>
      <c r="J202" t="n">
        <v>17</v>
      </c>
      <c r="K202" t="n">
        <v>35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700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inlineStr">
        <is>
          <t>emicho_gambieras</t>
        </is>
      </c>
      <c r="B203" t="n">
        <v>256</v>
      </c>
      <c r="C203" t="n">
        <v>27469</v>
      </c>
      <c r="D203" t="n">
        <v>17</v>
      </c>
      <c r="E203" t="n">
        <v>23</v>
      </c>
      <c r="F203" t="n">
        <v>12</v>
      </c>
      <c r="G203" t="n">
        <v>38</v>
      </c>
      <c r="H203" t="n">
        <v>0</v>
      </c>
      <c r="I203" t="n">
        <v>16</v>
      </c>
      <c r="J203" t="n">
        <v>32</v>
      </c>
      <c r="K203" t="n">
        <v>23</v>
      </c>
      <c r="L203" t="n">
        <v>0</v>
      </c>
      <c r="M203" t="n">
        <v>23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300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</row>
    <row r="204">
      <c r="A204" t="inlineStr">
        <is>
          <t>emicho_gauntlets</t>
        </is>
      </c>
      <c r="B204" t="n">
        <v>64</v>
      </c>
      <c r="C204" t="n">
        <v>27113</v>
      </c>
      <c r="D204" t="n">
        <v>11</v>
      </c>
      <c r="E204" t="n">
        <v>34</v>
      </c>
      <c r="F204" t="n">
        <v>32</v>
      </c>
      <c r="G204" t="n">
        <v>7</v>
      </c>
      <c r="H204" t="n">
        <v>16</v>
      </c>
      <c r="I204" t="n">
        <v>30</v>
      </c>
      <c r="J204" t="n">
        <v>19</v>
      </c>
      <c r="K204" t="n">
        <v>0</v>
      </c>
      <c r="L204" t="n">
        <v>0</v>
      </c>
      <c r="M204" t="n">
        <v>27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400</v>
      </c>
      <c r="T204" t="n">
        <v>0</v>
      </c>
      <c r="U204" t="n">
        <v>0</v>
      </c>
      <c r="V204" t="n">
        <v>0</v>
      </c>
      <c r="W204" t="n">
        <v>6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</row>
    <row r="205">
      <c r="A205" t="inlineStr">
        <is>
          <t>emicho_haubert</t>
        </is>
      </c>
      <c r="B205" t="n">
        <v>32</v>
      </c>
      <c r="C205" t="n">
        <v>25682</v>
      </c>
      <c r="D205" t="n">
        <v>28</v>
      </c>
      <c r="E205" t="n">
        <v>29</v>
      </c>
      <c r="F205" t="n">
        <v>24</v>
      </c>
      <c r="G205" t="n">
        <v>29</v>
      </c>
      <c r="H205" t="n">
        <v>25</v>
      </c>
      <c r="I205" t="n">
        <v>24</v>
      </c>
      <c r="J205" t="n">
        <v>24</v>
      </c>
      <c r="K205" t="n">
        <v>27</v>
      </c>
      <c r="L205" t="n">
        <v>0</v>
      </c>
      <c r="M205" t="n">
        <v>27</v>
      </c>
      <c r="N205" t="n">
        <v>0</v>
      </c>
      <c r="O205" t="n">
        <v>0</v>
      </c>
      <c r="P205" t="n">
        <v>4</v>
      </c>
      <c r="Q205" t="n">
        <v>0</v>
      </c>
      <c r="R205" t="n">
        <v>0</v>
      </c>
      <c r="S205" t="n">
        <v>300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inlineStr">
        <is>
          <t>emicho_haubert_+1</t>
        </is>
      </c>
      <c r="B206" t="n">
        <v>32</v>
      </c>
      <c r="C206" t="n">
        <v>25683</v>
      </c>
      <c r="D206" t="n">
        <v>28</v>
      </c>
      <c r="E206" t="n">
        <v>29</v>
      </c>
      <c r="F206" t="n">
        <v>24</v>
      </c>
      <c r="G206" t="n">
        <v>29</v>
      </c>
      <c r="H206" t="n">
        <v>25</v>
      </c>
      <c r="I206" t="n">
        <v>24</v>
      </c>
      <c r="J206" t="n">
        <v>24</v>
      </c>
      <c r="K206" t="n">
        <v>37</v>
      </c>
      <c r="L206" t="n">
        <v>0</v>
      </c>
      <c r="M206" t="n">
        <v>37</v>
      </c>
      <c r="N206" t="n">
        <v>0</v>
      </c>
      <c r="O206" t="n">
        <v>0</v>
      </c>
      <c r="P206" t="n">
        <v>5</v>
      </c>
      <c r="Q206" t="n">
        <v>0</v>
      </c>
      <c r="R206" t="n">
        <v>0</v>
      </c>
      <c r="S206" t="n">
        <v>300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inlineStr">
        <is>
          <t>emicho_hose</t>
        </is>
      </c>
      <c r="B207" t="n">
        <v>128</v>
      </c>
      <c r="C207" t="n">
        <v>27298</v>
      </c>
      <c r="D207" t="n">
        <v>33</v>
      </c>
      <c r="E207" t="n">
        <v>0</v>
      </c>
      <c r="F207" t="n">
        <v>16</v>
      </c>
      <c r="G207" t="n">
        <v>21</v>
      </c>
      <c r="H207" t="n">
        <v>33</v>
      </c>
      <c r="I207" t="n">
        <v>17</v>
      </c>
      <c r="J207" t="n">
        <v>12</v>
      </c>
      <c r="K207" t="n">
        <v>30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500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inlineStr">
        <is>
          <t>emicho_hose_+1</t>
        </is>
      </c>
      <c r="B208" t="n">
        <v>128</v>
      </c>
      <c r="C208" t="n">
        <v>27299</v>
      </c>
      <c r="D208" t="n">
        <v>33</v>
      </c>
      <c r="E208" t="n">
        <v>0</v>
      </c>
      <c r="F208" t="n">
        <v>16</v>
      </c>
      <c r="G208" t="n">
        <v>21</v>
      </c>
      <c r="H208" t="n">
        <v>33</v>
      </c>
      <c r="I208" t="n">
        <v>17</v>
      </c>
      <c r="J208" t="n">
        <v>12</v>
      </c>
      <c r="K208" t="n">
        <v>40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500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inlineStr">
        <is>
          <t>enedron_glasses</t>
        </is>
      </c>
      <c r="B209" t="n">
        <v>16</v>
      </c>
      <c r="C209" t="n">
        <v>27735</v>
      </c>
      <c r="D209" t="n">
        <v>10</v>
      </c>
      <c r="E209" t="n">
        <v>10</v>
      </c>
      <c r="F209" t="n">
        <v>10</v>
      </c>
      <c r="G209" t="n">
        <v>10</v>
      </c>
      <c r="H209" t="n">
        <v>13</v>
      </c>
      <c r="I209" t="n">
        <v>13</v>
      </c>
      <c r="J209" t="n">
        <v>19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500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inlineStr">
        <is>
          <t>enervating_earring</t>
        </is>
      </c>
      <c r="B210" t="n">
        <v>6144</v>
      </c>
      <c r="C210" t="n">
        <v>28479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4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inlineStr">
        <is>
          <t>engraved_belt</t>
        </is>
      </c>
      <c r="B211" t="n">
        <v>1024</v>
      </c>
      <c r="C211" t="n">
        <v>28414</v>
      </c>
      <c r="D211" t="n">
        <v>7</v>
      </c>
      <c r="E211" t="n">
        <v>0</v>
      </c>
      <c r="F211" t="n">
        <v>0</v>
      </c>
      <c r="G211" t="n">
        <v>0</v>
      </c>
      <c r="H211" t="n">
        <v>7</v>
      </c>
      <c r="I211" t="n">
        <v>7</v>
      </c>
      <c r="J211" t="n">
        <v>0</v>
      </c>
      <c r="K211" t="n">
        <v>10</v>
      </c>
      <c r="L211" t="n">
        <v>0</v>
      </c>
      <c r="M211" t="n">
        <v>10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</row>
    <row r="212">
      <c r="A212" t="inlineStr">
        <is>
          <t>enif_corazza</t>
        </is>
      </c>
      <c r="B212" t="n">
        <v>32</v>
      </c>
      <c r="C212" t="n">
        <v>10276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23</v>
      </c>
      <c r="N212" t="n">
        <v>0</v>
      </c>
      <c r="O212" t="n">
        <v>0</v>
      </c>
      <c r="P212" t="n">
        <v>0</v>
      </c>
      <c r="Q212" t="n">
        <v>0</v>
      </c>
      <c r="R212" t="n">
        <v>2</v>
      </c>
      <c r="S212" t="n">
        <v>300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inlineStr">
        <is>
          <t>enif_cosciales</t>
        </is>
      </c>
      <c r="B213" t="n">
        <v>128</v>
      </c>
      <c r="C213" t="n">
        <v>10326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6</v>
      </c>
      <c r="L213" t="n">
        <v>0</v>
      </c>
      <c r="M213" t="n">
        <v>6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500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inlineStr">
        <is>
          <t>enif_gambieras</t>
        </is>
      </c>
      <c r="B214" t="n">
        <v>256</v>
      </c>
      <c r="C214" t="n">
        <v>10367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6</v>
      </c>
      <c r="L214" t="n">
        <v>0</v>
      </c>
      <c r="M214" t="n">
        <v>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400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inlineStr">
        <is>
          <t>enif_manopolas</t>
        </is>
      </c>
      <c r="B215" t="n">
        <v>64</v>
      </c>
      <c r="C215" t="n">
        <v>10320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5</v>
      </c>
      <c r="L215" t="n">
        <v>0</v>
      </c>
      <c r="M215" t="n">
        <v>5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400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inlineStr">
        <is>
          <t>enif_zucchetto</t>
        </is>
      </c>
      <c r="B216" t="n">
        <v>16</v>
      </c>
      <c r="C216" t="n">
        <v>10438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7</v>
      </c>
      <c r="L216" t="n">
        <v>0</v>
      </c>
      <c r="M216" t="n">
        <v>7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500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inlineStr">
        <is>
          <t>enlivened_ring</t>
        </is>
      </c>
      <c r="B217" t="n">
        <v>24576</v>
      </c>
      <c r="C217" t="n">
        <v>28549</v>
      </c>
      <c r="D217" t="n">
        <v>0</v>
      </c>
      <c r="E217" t="n">
        <v>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7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</row>
    <row r="218">
      <c r="A218" t="inlineStr">
        <is>
          <t>ensnaring_torque</t>
        </is>
      </c>
      <c r="B218" t="n">
        <v>512</v>
      </c>
      <c r="C218" t="n">
        <v>28397</v>
      </c>
      <c r="D218" t="n">
        <v>3</v>
      </c>
      <c r="E218" t="n">
        <v>0</v>
      </c>
      <c r="F218" t="n">
        <v>0</v>
      </c>
      <c r="G218" t="n">
        <v>3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</row>
    <row r="219">
      <c r="A219" t="inlineStr">
        <is>
          <t>epaminondass_ring</t>
        </is>
      </c>
      <c r="B219" t="n">
        <v>24576</v>
      </c>
      <c r="C219" t="n">
        <v>26214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-10</v>
      </c>
      <c r="X219" t="n">
        <v>0</v>
      </c>
      <c r="Y219" t="n">
        <v>5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inlineStr">
        <is>
          <t>eschan_stone</t>
        </is>
      </c>
      <c r="B220" t="n">
        <v>1024</v>
      </c>
      <c r="C220" t="n">
        <v>28415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15</v>
      </c>
      <c r="L220" t="n">
        <v>0</v>
      </c>
      <c r="M220" t="n">
        <v>15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inlineStr">
        <is>
          <t>eschite_greaves</t>
        </is>
      </c>
      <c r="B221" t="n">
        <v>256</v>
      </c>
      <c r="C221" t="n">
        <v>27457</v>
      </c>
      <c r="D221" t="n">
        <v>21</v>
      </c>
      <c r="E221" t="n">
        <v>12</v>
      </c>
      <c r="F221" t="n">
        <v>22</v>
      </c>
      <c r="G221" t="n">
        <v>29</v>
      </c>
      <c r="H221" t="n">
        <v>0</v>
      </c>
      <c r="I221" t="n">
        <v>10</v>
      </c>
      <c r="J221" t="n">
        <v>26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300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inlineStr">
        <is>
          <t>espial_bracers</t>
        </is>
      </c>
      <c r="B222" t="n">
        <v>64</v>
      </c>
      <c r="C222" t="n">
        <v>28030</v>
      </c>
      <c r="D222" t="n">
        <v>7</v>
      </c>
      <c r="E222" t="n">
        <v>33</v>
      </c>
      <c r="F222" t="n">
        <v>25</v>
      </c>
      <c r="G222" t="n">
        <v>8</v>
      </c>
      <c r="H222" t="n">
        <v>10</v>
      </c>
      <c r="I222" t="n">
        <v>28</v>
      </c>
      <c r="J222" t="n">
        <v>16</v>
      </c>
      <c r="K222" t="n">
        <v>0</v>
      </c>
      <c r="L222" t="n">
        <v>0</v>
      </c>
      <c r="M222" t="n">
        <v>4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400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inlineStr">
        <is>
          <t>espial_cap</t>
        </is>
      </c>
      <c r="B223" t="n">
        <v>16</v>
      </c>
      <c r="C223" t="n">
        <v>27741</v>
      </c>
      <c r="D223" t="n">
        <v>20</v>
      </c>
      <c r="E223" t="n">
        <v>22</v>
      </c>
      <c r="F223" t="n">
        <v>20</v>
      </c>
      <c r="G223" t="n">
        <v>22</v>
      </c>
      <c r="H223" t="n">
        <v>20</v>
      </c>
      <c r="I223" t="n">
        <v>20</v>
      </c>
      <c r="J223" t="n">
        <v>20</v>
      </c>
      <c r="K223" t="n">
        <v>0</v>
      </c>
      <c r="L223" t="n">
        <v>0</v>
      </c>
      <c r="M223" t="n">
        <v>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700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inlineStr">
        <is>
          <t>espial_gambison</t>
        </is>
      </c>
      <c r="B224" t="n">
        <v>32</v>
      </c>
      <c r="C224" t="n">
        <v>27882</v>
      </c>
      <c r="D224" t="n">
        <v>22</v>
      </c>
      <c r="E224" t="n">
        <v>27</v>
      </c>
      <c r="F224" t="n">
        <v>21</v>
      </c>
      <c r="G224" t="n">
        <v>27</v>
      </c>
      <c r="H224" t="n">
        <v>22</v>
      </c>
      <c r="I224" t="n">
        <v>22</v>
      </c>
      <c r="J224" t="n">
        <v>22</v>
      </c>
      <c r="K224" t="n">
        <v>0</v>
      </c>
      <c r="L224" t="n">
        <v>0</v>
      </c>
      <c r="M224" t="n">
        <v>6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300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inlineStr">
        <is>
          <t>espial_hose</t>
        </is>
      </c>
      <c r="B225" t="n">
        <v>128</v>
      </c>
      <c r="C225" t="n">
        <v>28169</v>
      </c>
      <c r="D225" t="n">
        <v>27</v>
      </c>
      <c r="E225" t="n">
        <v>0</v>
      </c>
      <c r="F225" t="n">
        <v>14</v>
      </c>
      <c r="G225" t="n">
        <v>21</v>
      </c>
      <c r="H225" t="n">
        <v>28</v>
      </c>
      <c r="I225" t="n">
        <v>16</v>
      </c>
      <c r="J225" t="n">
        <v>0</v>
      </c>
      <c r="K225" t="n">
        <v>0</v>
      </c>
      <c r="L225" t="n">
        <v>0</v>
      </c>
      <c r="M225" t="n">
        <v>5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500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inlineStr">
        <is>
          <t>espial_socks</t>
        </is>
      </c>
      <c r="B226" t="n">
        <v>256</v>
      </c>
      <c r="C226" t="n">
        <v>28307</v>
      </c>
      <c r="D226" t="n">
        <v>10</v>
      </c>
      <c r="E226" t="n">
        <v>20</v>
      </c>
      <c r="F226" t="n">
        <v>10</v>
      </c>
      <c r="G226" t="n">
        <v>33</v>
      </c>
      <c r="H226" t="n">
        <v>0</v>
      </c>
      <c r="I226" t="n">
        <v>10</v>
      </c>
      <c r="J226" t="n">
        <v>26</v>
      </c>
      <c r="K226" t="n">
        <v>0</v>
      </c>
      <c r="L226" t="n">
        <v>0</v>
      </c>
      <c r="M226" t="n">
        <v>4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300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inlineStr">
        <is>
          <t>euxine_coat</t>
        </is>
      </c>
      <c r="B227" t="n">
        <v>32</v>
      </c>
      <c r="C227" t="n">
        <v>10475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200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inlineStr">
        <is>
          <t>euxine_coat_+1</t>
        </is>
      </c>
      <c r="B228" t="n">
        <v>32</v>
      </c>
      <c r="C228" t="n">
        <v>10476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200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inlineStr">
        <is>
          <t>euxine_coat_+2</t>
        </is>
      </c>
      <c r="B229" t="n">
        <v>32</v>
      </c>
      <c r="C229" t="n">
        <v>10477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10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300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inlineStr">
        <is>
          <t>euxine_coat_+3</t>
        </is>
      </c>
      <c r="B230" t="n">
        <v>32</v>
      </c>
      <c r="C230" t="n">
        <v>10478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10</v>
      </c>
      <c r="N230" t="n">
        <v>0</v>
      </c>
      <c r="O230" t="n">
        <v>0</v>
      </c>
      <c r="P230" t="n">
        <v>2</v>
      </c>
      <c r="Q230" t="n">
        <v>2</v>
      </c>
      <c r="R230" t="n">
        <v>2</v>
      </c>
      <c r="S230" t="n">
        <v>300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inlineStr">
        <is>
          <t>euxine_gloves</t>
        </is>
      </c>
      <c r="B231" t="n">
        <v>64</v>
      </c>
      <c r="C231" t="n">
        <v>10524</v>
      </c>
      <c r="D231" t="n">
        <v>0</v>
      </c>
      <c r="E231" t="n">
        <v>0</v>
      </c>
      <c r="F231" t="n">
        <v>0</v>
      </c>
      <c r="G231" t="n">
        <v>6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inlineStr">
        <is>
          <t>euxine_gloves_+1</t>
        </is>
      </c>
      <c r="B232" t="n">
        <v>64</v>
      </c>
      <c r="C232" t="n">
        <v>10525</v>
      </c>
      <c r="D232" t="n">
        <v>0</v>
      </c>
      <c r="E232" t="n">
        <v>6</v>
      </c>
      <c r="F232" t="n">
        <v>0</v>
      </c>
      <c r="G232" t="n">
        <v>6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inlineStr">
        <is>
          <t>euxine_gloves_+2</t>
        </is>
      </c>
      <c r="B233" t="n">
        <v>64</v>
      </c>
      <c r="C233" t="n">
        <v>10526</v>
      </c>
      <c r="D233" t="n">
        <v>0</v>
      </c>
      <c r="E233" t="n">
        <v>6</v>
      </c>
      <c r="F233" t="n">
        <v>6</v>
      </c>
      <c r="G233" t="n">
        <v>6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200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inlineStr">
        <is>
          <t>euxine_gloves_+3</t>
        </is>
      </c>
      <c r="B234" t="n">
        <v>64</v>
      </c>
      <c r="C234" t="n">
        <v>10527</v>
      </c>
      <c r="D234" t="n">
        <v>0</v>
      </c>
      <c r="E234" t="n">
        <v>7</v>
      </c>
      <c r="F234" t="n">
        <v>7</v>
      </c>
      <c r="G234" t="n">
        <v>7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200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inlineStr">
        <is>
          <t>euxine_hat</t>
        </is>
      </c>
      <c r="B235" t="n">
        <v>16</v>
      </c>
      <c r="C235" t="n">
        <v>10902</v>
      </c>
      <c r="D235" t="n">
        <v>5</v>
      </c>
      <c r="E235" t="n">
        <v>0</v>
      </c>
      <c r="F235" t="n">
        <v>0</v>
      </c>
      <c r="G235" t="n">
        <v>5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inlineStr">
        <is>
          <t>euxine_hat_+1</t>
        </is>
      </c>
      <c r="B236" t="n">
        <v>16</v>
      </c>
      <c r="C236" t="n">
        <v>10903</v>
      </c>
      <c r="D236" t="n">
        <v>5</v>
      </c>
      <c r="E236" t="n">
        <v>0</v>
      </c>
      <c r="F236" t="n">
        <v>0</v>
      </c>
      <c r="G236" t="n">
        <v>12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inlineStr">
        <is>
          <t>euxine_hat_+2</t>
        </is>
      </c>
      <c r="B237" t="n">
        <v>16</v>
      </c>
      <c r="C237" t="n">
        <v>10904</v>
      </c>
      <c r="D237" t="n">
        <v>5</v>
      </c>
      <c r="E237" t="n">
        <v>0</v>
      </c>
      <c r="F237" t="n">
        <v>0</v>
      </c>
      <c r="G237" t="n">
        <v>12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inlineStr">
        <is>
          <t>euxine_hat_+3</t>
        </is>
      </c>
      <c r="B238" t="n">
        <v>16</v>
      </c>
      <c r="C238" t="n">
        <v>10905</v>
      </c>
      <c r="D238" t="n">
        <v>5</v>
      </c>
      <c r="E238" t="n">
        <v>0</v>
      </c>
      <c r="F238" t="n">
        <v>0</v>
      </c>
      <c r="G238" t="n">
        <v>13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3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inlineStr">
        <is>
          <t>euxine_kecks</t>
        </is>
      </c>
      <c r="B239" t="n">
        <v>128</v>
      </c>
      <c r="C239" t="n">
        <v>10555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400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</row>
    <row r="240">
      <c r="A240" t="inlineStr">
        <is>
          <t>euxine_kecks_+1</t>
        </is>
      </c>
      <c r="B240" t="n">
        <v>128</v>
      </c>
      <c r="C240" t="n">
        <v>10556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400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inlineStr">
        <is>
          <t>euxine_kecks_+2</t>
        </is>
      </c>
      <c r="B241" t="n">
        <v>128</v>
      </c>
      <c r="C241" t="n">
        <v>10557</v>
      </c>
      <c r="D241" t="n">
        <v>7</v>
      </c>
      <c r="E241" t="n">
        <v>0</v>
      </c>
      <c r="F241" t="n">
        <v>0</v>
      </c>
      <c r="G241" t="n">
        <v>7</v>
      </c>
      <c r="H241" t="n">
        <v>0</v>
      </c>
      <c r="I241" t="n">
        <v>0</v>
      </c>
      <c r="J241" t="n">
        <v>0</v>
      </c>
      <c r="K241" t="n">
        <v>10</v>
      </c>
      <c r="L241" t="n">
        <v>0</v>
      </c>
      <c r="M241" t="n">
        <v>10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400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inlineStr">
        <is>
          <t>euxine_kecks_+3</t>
        </is>
      </c>
      <c r="B242" t="n">
        <v>128</v>
      </c>
      <c r="C242" t="n">
        <v>10558</v>
      </c>
      <c r="D242" t="n">
        <v>8</v>
      </c>
      <c r="E242" t="n">
        <v>0</v>
      </c>
      <c r="F242" t="n">
        <v>0</v>
      </c>
      <c r="G242" t="n">
        <v>8</v>
      </c>
      <c r="H242" t="n">
        <v>0</v>
      </c>
      <c r="I242" t="n">
        <v>0</v>
      </c>
      <c r="J242" t="n">
        <v>0</v>
      </c>
      <c r="K242" t="n">
        <v>12</v>
      </c>
      <c r="L242" t="n">
        <v>0</v>
      </c>
      <c r="M242" t="n">
        <v>12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500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inlineStr">
        <is>
          <t>euxine_nails</t>
        </is>
      </c>
      <c r="B243" t="n">
        <v>256</v>
      </c>
      <c r="C243" t="n">
        <v>10621</v>
      </c>
      <c r="D243" t="n">
        <v>0</v>
      </c>
      <c r="E243" t="n">
        <v>7</v>
      </c>
      <c r="F243" t="n">
        <v>0</v>
      </c>
      <c r="G243" t="n">
        <v>7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inlineStr">
        <is>
          <t>euxine_nails_+1</t>
        </is>
      </c>
      <c r="B244" t="n">
        <v>256</v>
      </c>
      <c r="C244" t="n">
        <v>10622</v>
      </c>
      <c r="D244" t="n">
        <v>0</v>
      </c>
      <c r="E244" t="n">
        <v>7</v>
      </c>
      <c r="F244" t="n">
        <v>0</v>
      </c>
      <c r="G244" t="n">
        <v>7</v>
      </c>
      <c r="H244" t="n">
        <v>0</v>
      </c>
      <c r="I244" t="n">
        <v>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inlineStr">
        <is>
          <t>euxine_nails_+2</t>
        </is>
      </c>
      <c r="B245" t="n">
        <v>256</v>
      </c>
      <c r="C245" t="n">
        <v>10623</v>
      </c>
      <c r="D245" t="n">
        <v>0</v>
      </c>
      <c r="E245" t="n">
        <v>7</v>
      </c>
      <c r="F245" t="n">
        <v>0</v>
      </c>
      <c r="G245" t="n">
        <v>7</v>
      </c>
      <c r="H245" t="n">
        <v>0</v>
      </c>
      <c r="I245" t="n">
        <v>7</v>
      </c>
      <c r="J245" t="n">
        <v>0</v>
      </c>
      <c r="K245" t="n">
        <v>10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inlineStr">
        <is>
          <t>euxine_nails_+3</t>
        </is>
      </c>
      <c r="B246" t="n">
        <v>256</v>
      </c>
      <c r="C246" t="n">
        <v>10624</v>
      </c>
      <c r="D246" t="n">
        <v>0</v>
      </c>
      <c r="E246" t="n">
        <v>8</v>
      </c>
      <c r="F246" t="n">
        <v>0</v>
      </c>
      <c r="G246" t="n">
        <v>8</v>
      </c>
      <c r="H246" t="n">
        <v>0</v>
      </c>
      <c r="I246" t="n">
        <v>8</v>
      </c>
      <c r="J246" t="n">
        <v>0</v>
      </c>
      <c r="K246" t="n">
        <v>12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inlineStr">
        <is>
          <t>evader_earring</t>
        </is>
      </c>
      <c r="B247" t="n">
        <v>6144</v>
      </c>
      <c r="C247" t="n">
        <v>11060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-7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</row>
    <row r="248">
      <c r="A248" t="inlineStr">
        <is>
          <t>evader_earring_+1</t>
        </is>
      </c>
      <c r="B248" t="n">
        <v>6144</v>
      </c>
      <c r="C248" t="n">
        <v>11061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-8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inlineStr">
        <is>
          <t>exalted_bow</t>
        </is>
      </c>
      <c r="B249" t="n">
        <v>4</v>
      </c>
      <c r="C249" t="n">
        <v>22125</v>
      </c>
      <c r="D249" t="n">
        <v>7</v>
      </c>
      <c r="E249" t="n">
        <v>0</v>
      </c>
      <c r="F249" t="n">
        <v>0</v>
      </c>
      <c r="G249" t="n">
        <v>7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</row>
    <row r="250">
      <c r="A250" t="inlineStr">
        <is>
          <t>exalted_bow_+1</t>
        </is>
      </c>
      <c r="B250" t="n">
        <v>4</v>
      </c>
      <c r="C250" t="n">
        <v>22126</v>
      </c>
      <c r="D250" t="n">
        <v>12</v>
      </c>
      <c r="E250" t="n">
        <v>0</v>
      </c>
      <c r="F250" t="n">
        <v>0</v>
      </c>
      <c r="G250" t="n">
        <v>12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inlineStr">
        <is>
          <t>expeditious_pinion</t>
        </is>
      </c>
      <c r="B251" t="n">
        <v>8</v>
      </c>
      <c r="C251" t="n">
        <v>22270</v>
      </c>
      <c r="D251" t="n">
        <v>0</v>
      </c>
      <c r="E251" t="n">
        <v>4</v>
      </c>
      <c r="F251" t="n">
        <v>0</v>
      </c>
      <c r="G251" t="n">
        <v>4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inlineStr">
        <is>
          <t>famine_sash</t>
        </is>
      </c>
      <c r="B252" t="n">
        <v>1024</v>
      </c>
      <c r="C252" t="n">
        <v>28422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10</v>
      </c>
      <c r="L252" t="n">
        <v>0</v>
      </c>
      <c r="M252" t="n">
        <v>10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inlineStr">
        <is>
          <t>feast_hose</t>
        </is>
      </c>
      <c r="B253" t="n">
        <v>128</v>
      </c>
      <c r="C253" t="n">
        <v>27223</v>
      </c>
      <c r="D253" t="n">
        <v>25</v>
      </c>
      <c r="E253" t="n">
        <v>0</v>
      </c>
      <c r="F253" t="n">
        <v>12</v>
      </c>
      <c r="G253" t="n">
        <v>17</v>
      </c>
      <c r="H253" t="n">
        <v>34</v>
      </c>
      <c r="I253" t="n">
        <v>24</v>
      </c>
      <c r="J253" t="n">
        <v>19</v>
      </c>
      <c r="K253" t="n">
        <v>0</v>
      </c>
      <c r="L253" t="n">
        <v>0</v>
      </c>
      <c r="M253" t="n">
        <v>23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500</v>
      </c>
      <c r="T253" t="n">
        <v>0</v>
      </c>
      <c r="U253" t="n">
        <v>0</v>
      </c>
      <c r="V253" t="n">
        <v>0</v>
      </c>
      <c r="W253" t="n">
        <v>4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inlineStr">
        <is>
          <t>febro_kaftan</t>
        </is>
      </c>
      <c r="B254" t="n">
        <v>32</v>
      </c>
      <c r="C254" t="n">
        <v>10291</v>
      </c>
      <c r="D254" t="n">
        <v>0</v>
      </c>
      <c r="E254" t="n">
        <v>14</v>
      </c>
      <c r="F254" t="n">
        <v>0</v>
      </c>
      <c r="G254" t="n">
        <v>14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400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inlineStr">
        <is>
          <t>feline_mantle</t>
        </is>
      </c>
      <c r="B255" t="n">
        <v>32768</v>
      </c>
      <c r="C255" t="n">
        <v>11010</v>
      </c>
      <c r="D255" t="n">
        <v>0</v>
      </c>
      <c r="E255" t="n">
        <v>3</v>
      </c>
      <c r="F255" t="n">
        <v>0</v>
      </c>
      <c r="G255" t="n">
        <v>3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inlineStr">
        <is>
          <t>felistris_mask</t>
        </is>
      </c>
      <c r="B256" t="n">
        <v>16</v>
      </c>
      <c r="C256" t="n">
        <v>27745</v>
      </c>
      <c r="D256" t="n">
        <v>23</v>
      </c>
      <c r="E256" t="n">
        <v>23</v>
      </c>
      <c r="F256" t="n">
        <v>23</v>
      </c>
      <c r="G256" t="n">
        <v>23</v>
      </c>
      <c r="H256" t="n">
        <v>19</v>
      </c>
      <c r="I256" t="n">
        <v>19</v>
      </c>
      <c r="J256" t="n">
        <v>20</v>
      </c>
      <c r="K256" t="n">
        <v>10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2</v>
      </c>
      <c r="R256" t="n">
        <v>0</v>
      </c>
      <c r="S256" t="n">
        <v>800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</row>
    <row r="257">
      <c r="A257" t="inlineStr">
        <is>
          <t>feverish_korazin</t>
        </is>
      </c>
      <c r="B257" t="n">
        <v>32</v>
      </c>
      <c r="C257" t="n">
        <v>10287</v>
      </c>
      <c r="D257" t="n">
        <v>15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inlineStr">
        <is>
          <t>flam._gambieras_+1</t>
        </is>
      </c>
      <c r="B258" t="n">
        <v>256</v>
      </c>
      <c r="C258" t="n">
        <v>25941</v>
      </c>
      <c r="D258" t="n">
        <v>27</v>
      </c>
      <c r="E258" t="n">
        <v>30</v>
      </c>
      <c r="F258" t="n">
        <v>20</v>
      </c>
      <c r="G258" t="n">
        <v>26</v>
      </c>
      <c r="H258" t="n">
        <v>0</v>
      </c>
      <c r="I258" t="n">
        <v>6</v>
      </c>
      <c r="J258" t="n">
        <v>20</v>
      </c>
      <c r="K258" t="n">
        <v>0</v>
      </c>
      <c r="L258" t="n">
        <v>0</v>
      </c>
      <c r="M258" t="n">
        <v>36</v>
      </c>
      <c r="N258" t="n">
        <v>0</v>
      </c>
      <c r="O258" t="n">
        <v>0</v>
      </c>
      <c r="P258" t="n">
        <v>5</v>
      </c>
      <c r="Q258" t="n">
        <v>0</v>
      </c>
      <c r="R258" t="n">
        <v>0</v>
      </c>
      <c r="S258" t="n">
        <v>200</v>
      </c>
      <c r="T258" t="n">
        <v>0</v>
      </c>
      <c r="U258" t="n">
        <v>0</v>
      </c>
      <c r="V258" t="n">
        <v>0</v>
      </c>
      <c r="W258" t="n">
        <v>5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inlineStr">
        <is>
          <t>flam._manopolas_+1</t>
        </is>
      </c>
      <c r="B259" t="n">
        <v>64</v>
      </c>
      <c r="C259" t="n">
        <v>25819</v>
      </c>
      <c r="D259" t="n">
        <v>19</v>
      </c>
      <c r="E259" t="n">
        <v>42</v>
      </c>
      <c r="F259" t="n">
        <v>35</v>
      </c>
      <c r="G259" t="n">
        <v>8</v>
      </c>
      <c r="H259" t="n">
        <v>7</v>
      </c>
      <c r="I259" t="n">
        <v>24</v>
      </c>
      <c r="J259" t="n">
        <v>17</v>
      </c>
      <c r="K259" t="n">
        <v>0</v>
      </c>
      <c r="L259" t="n">
        <v>0</v>
      </c>
      <c r="M259" t="n">
        <v>37</v>
      </c>
      <c r="N259" t="n">
        <v>7</v>
      </c>
      <c r="O259" t="n">
        <v>0</v>
      </c>
      <c r="P259" t="n">
        <v>0</v>
      </c>
      <c r="Q259" t="n">
        <v>0</v>
      </c>
      <c r="R259" t="n">
        <v>0</v>
      </c>
      <c r="S259" t="n">
        <v>400</v>
      </c>
      <c r="T259" t="n">
        <v>0</v>
      </c>
      <c r="U259" t="n">
        <v>0</v>
      </c>
      <c r="V259" t="n">
        <v>0</v>
      </c>
      <c r="W259" t="n">
        <v>5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</row>
    <row r="260">
      <c r="A260" t="inlineStr">
        <is>
          <t>flam._zucchetto_+1</t>
        </is>
      </c>
      <c r="B260" t="n">
        <v>16</v>
      </c>
      <c r="C260" t="n">
        <v>25580</v>
      </c>
      <c r="D260" t="n">
        <v>32</v>
      </c>
      <c r="E260" t="n">
        <v>28</v>
      </c>
      <c r="F260" t="n">
        <v>24</v>
      </c>
      <c r="G260" t="n">
        <v>16</v>
      </c>
      <c r="H260" t="n">
        <v>12</v>
      </c>
      <c r="I260" t="n">
        <v>12</v>
      </c>
      <c r="J260" t="n">
        <v>12</v>
      </c>
      <c r="K260" t="n">
        <v>0</v>
      </c>
      <c r="L260" t="n">
        <v>0</v>
      </c>
      <c r="M260" t="n">
        <v>38</v>
      </c>
      <c r="N260" t="n">
        <v>0</v>
      </c>
      <c r="O260" t="n">
        <v>0</v>
      </c>
      <c r="P260" t="n">
        <v>0</v>
      </c>
      <c r="Q260" t="n">
        <v>4</v>
      </c>
      <c r="R260" t="n">
        <v>0</v>
      </c>
      <c r="S260" t="n">
        <v>400</v>
      </c>
      <c r="T260" t="n">
        <v>0</v>
      </c>
      <c r="U260" t="n">
        <v>0</v>
      </c>
      <c r="V260" t="n">
        <v>0</v>
      </c>
      <c r="W260" t="n">
        <v>5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inlineStr">
        <is>
          <t>flam._zucchetto_+2</t>
        </is>
      </c>
      <c r="B261" t="n">
        <v>16</v>
      </c>
      <c r="C261" t="n">
        <v>25569</v>
      </c>
      <c r="D261" t="n">
        <v>36</v>
      </c>
      <c r="E261" t="n">
        <v>32</v>
      </c>
      <c r="F261" t="n">
        <v>24</v>
      </c>
      <c r="G261" t="n">
        <v>16</v>
      </c>
      <c r="H261" t="n">
        <v>12</v>
      </c>
      <c r="I261" t="n">
        <v>12</v>
      </c>
      <c r="J261" t="n">
        <v>12</v>
      </c>
      <c r="K261" t="n">
        <v>0</v>
      </c>
      <c r="L261" t="n">
        <v>0</v>
      </c>
      <c r="M261" t="n">
        <v>44</v>
      </c>
      <c r="N261" t="n">
        <v>0</v>
      </c>
      <c r="O261" t="n">
        <v>0</v>
      </c>
      <c r="P261" t="n">
        <v>0</v>
      </c>
      <c r="Q261" t="n">
        <v>5</v>
      </c>
      <c r="R261" t="n">
        <v>0</v>
      </c>
      <c r="S261" t="n">
        <v>400</v>
      </c>
      <c r="T261" t="n">
        <v>0</v>
      </c>
      <c r="U261" t="n">
        <v>0</v>
      </c>
      <c r="V261" t="n">
        <v>0</v>
      </c>
      <c r="W261" t="n">
        <v>6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inlineStr">
        <is>
          <t>flamma_dirs</t>
        </is>
      </c>
      <c r="B262" t="n">
        <v>128</v>
      </c>
      <c r="C262" t="n">
        <v>25873</v>
      </c>
      <c r="D262" t="n">
        <v>42</v>
      </c>
      <c r="E262" t="n">
        <v>0</v>
      </c>
      <c r="F262" t="n">
        <v>29</v>
      </c>
      <c r="G262" t="n">
        <v>16</v>
      </c>
      <c r="H262" t="n">
        <v>24</v>
      </c>
      <c r="I262" t="n">
        <v>14</v>
      </c>
      <c r="J262" t="n">
        <v>11</v>
      </c>
      <c r="K262" t="n">
        <v>0</v>
      </c>
      <c r="L262" t="n">
        <v>0</v>
      </c>
      <c r="M262" t="n">
        <v>27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400</v>
      </c>
      <c r="T262" t="n">
        <v>0</v>
      </c>
      <c r="U262" t="n">
        <v>0</v>
      </c>
      <c r="V262" t="n">
        <v>0</v>
      </c>
      <c r="W262" t="n">
        <v>5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inlineStr">
        <is>
          <t>flamma_dirs_+1</t>
        </is>
      </c>
      <c r="B263" t="n">
        <v>128</v>
      </c>
      <c r="C263" t="n">
        <v>25874</v>
      </c>
      <c r="D263" t="n">
        <v>49</v>
      </c>
      <c r="E263" t="n">
        <v>7</v>
      </c>
      <c r="F263" t="n">
        <v>29</v>
      </c>
      <c r="G263" t="n">
        <v>16</v>
      </c>
      <c r="H263" t="n">
        <v>24</v>
      </c>
      <c r="I263" t="n">
        <v>14</v>
      </c>
      <c r="J263" t="n">
        <v>11</v>
      </c>
      <c r="K263" t="n">
        <v>0</v>
      </c>
      <c r="L263" t="n">
        <v>0</v>
      </c>
      <c r="M263" t="n">
        <v>39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400</v>
      </c>
      <c r="T263" t="n">
        <v>0</v>
      </c>
      <c r="U263" t="n">
        <v>0</v>
      </c>
      <c r="V263" t="n">
        <v>0</v>
      </c>
      <c r="W263" t="n">
        <v>7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inlineStr">
        <is>
          <t>flamma_gambieras</t>
        </is>
      </c>
      <c r="B264" t="n">
        <v>256</v>
      </c>
      <c r="C264" t="n">
        <v>25940</v>
      </c>
      <c r="D264" t="n">
        <v>20</v>
      </c>
      <c r="E264" t="n">
        <v>23</v>
      </c>
      <c r="F264" t="n">
        <v>20</v>
      </c>
      <c r="G264" t="n">
        <v>26</v>
      </c>
      <c r="H264" t="n">
        <v>0</v>
      </c>
      <c r="I264" t="n">
        <v>6</v>
      </c>
      <c r="J264" t="n">
        <v>20</v>
      </c>
      <c r="K264" t="n">
        <v>0</v>
      </c>
      <c r="L264" t="n">
        <v>0</v>
      </c>
      <c r="M264" t="n">
        <v>24</v>
      </c>
      <c r="N264" t="n">
        <v>0</v>
      </c>
      <c r="O264" t="n">
        <v>0</v>
      </c>
      <c r="P264" t="n">
        <v>3</v>
      </c>
      <c r="Q264" t="n">
        <v>0</v>
      </c>
      <c r="R264" t="n">
        <v>0</v>
      </c>
      <c r="S264" t="n">
        <v>200</v>
      </c>
      <c r="T264" t="n">
        <v>0</v>
      </c>
      <c r="U264" t="n">
        <v>0</v>
      </c>
      <c r="V264" t="n">
        <v>0</v>
      </c>
      <c r="W264" t="n">
        <v>3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inlineStr">
        <is>
          <t>flamma_korazin</t>
        </is>
      </c>
      <c r="B265" t="n">
        <v>32</v>
      </c>
      <c r="C265" t="n">
        <v>25779</v>
      </c>
      <c r="D265" t="n">
        <v>32</v>
      </c>
      <c r="E265" t="n">
        <v>28</v>
      </c>
      <c r="F265" t="n">
        <v>32</v>
      </c>
      <c r="G265" t="n">
        <v>20</v>
      </c>
      <c r="H265" t="n">
        <v>20</v>
      </c>
      <c r="I265" t="n">
        <v>20</v>
      </c>
      <c r="J265" t="n">
        <v>20</v>
      </c>
      <c r="K265" t="n">
        <v>0</v>
      </c>
      <c r="L265" t="n">
        <v>0</v>
      </c>
      <c r="M265" t="n">
        <v>28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200</v>
      </c>
      <c r="T265" t="n">
        <v>0</v>
      </c>
      <c r="U265" t="n">
        <v>0</v>
      </c>
      <c r="V265" t="n">
        <v>0</v>
      </c>
      <c r="W265" t="n">
        <v>5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</row>
    <row r="266">
      <c r="A266" t="inlineStr">
        <is>
          <t>flamma_korazin_+1</t>
        </is>
      </c>
      <c r="B266" t="n">
        <v>32</v>
      </c>
      <c r="C266" t="n">
        <v>25780</v>
      </c>
      <c r="D266" t="n">
        <v>39</v>
      </c>
      <c r="E266" t="n">
        <v>35</v>
      </c>
      <c r="F266" t="n">
        <v>32</v>
      </c>
      <c r="G266" t="n">
        <v>20</v>
      </c>
      <c r="H266" t="n">
        <v>20</v>
      </c>
      <c r="I266" t="n">
        <v>20</v>
      </c>
      <c r="J266" t="n">
        <v>20</v>
      </c>
      <c r="K266" t="n">
        <v>0</v>
      </c>
      <c r="L266" t="n">
        <v>0</v>
      </c>
      <c r="M266" t="n">
        <v>40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200</v>
      </c>
      <c r="T266" t="n">
        <v>0</v>
      </c>
      <c r="U266" t="n">
        <v>0</v>
      </c>
      <c r="V266" t="n">
        <v>0</v>
      </c>
      <c r="W266" t="n">
        <v>8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inlineStr">
        <is>
          <t>flamma_manopolas</t>
        </is>
      </c>
      <c r="B267" t="n">
        <v>64</v>
      </c>
      <c r="C267" t="n">
        <v>25818</v>
      </c>
      <c r="D267" t="n">
        <v>12</v>
      </c>
      <c r="E267" t="n">
        <v>35</v>
      </c>
      <c r="F267" t="n">
        <v>35</v>
      </c>
      <c r="G267" t="n">
        <v>8</v>
      </c>
      <c r="H267" t="n">
        <v>7</v>
      </c>
      <c r="I267" t="n">
        <v>24</v>
      </c>
      <c r="J267" t="n">
        <v>17</v>
      </c>
      <c r="K267" t="n">
        <v>0</v>
      </c>
      <c r="L267" t="n">
        <v>0</v>
      </c>
      <c r="M267" t="n">
        <v>25</v>
      </c>
      <c r="N267" t="n">
        <v>5</v>
      </c>
      <c r="O267" t="n">
        <v>0</v>
      </c>
      <c r="P267" t="n">
        <v>0</v>
      </c>
      <c r="Q267" t="n">
        <v>0</v>
      </c>
      <c r="R267" t="n">
        <v>0</v>
      </c>
      <c r="S267" t="n">
        <v>400</v>
      </c>
      <c r="T267" t="n">
        <v>0</v>
      </c>
      <c r="U267" t="n">
        <v>0</v>
      </c>
      <c r="V267" t="n">
        <v>0</v>
      </c>
      <c r="W267" t="n">
        <v>3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inlineStr">
        <is>
          <t>flamma_zucchetto</t>
        </is>
      </c>
      <c r="B268" t="n">
        <v>16</v>
      </c>
      <c r="C268" t="n">
        <v>25579</v>
      </c>
      <c r="D268" t="n">
        <v>25</v>
      </c>
      <c r="E268" t="n">
        <v>21</v>
      </c>
      <c r="F268" t="n">
        <v>24</v>
      </c>
      <c r="G268" t="n">
        <v>16</v>
      </c>
      <c r="H268" t="n">
        <v>12</v>
      </c>
      <c r="I268" t="n">
        <v>12</v>
      </c>
      <c r="J268" t="n">
        <v>12</v>
      </c>
      <c r="K268" t="n">
        <v>0</v>
      </c>
      <c r="L268" t="n">
        <v>0</v>
      </c>
      <c r="M268" t="n">
        <v>26</v>
      </c>
      <c r="N268" t="n">
        <v>0</v>
      </c>
      <c r="O268" t="n">
        <v>0</v>
      </c>
      <c r="P268" t="n">
        <v>0</v>
      </c>
      <c r="Q268" t="n">
        <v>2</v>
      </c>
      <c r="R268" t="n">
        <v>0</v>
      </c>
      <c r="S268" t="n">
        <v>400</v>
      </c>
      <c r="T268" t="n">
        <v>0</v>
      </c>
      <c r="U268" t="n">
        <v>0</v>
      </c>
      <c r="V268" t="n">
        <v>0</v>
      </c>
      <c r="W268" t="n">
        <v>3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inlineStr">
        <is>
          <t>floestone</t>
        </is>
      </c>
      <c r="B269" t="n">
        <v>8</v>
      </c>
      <c r="C269" t="n">
        <v>21366</v>
      </c>
      <c r="D269" t="n">
        <v>3</v>
      </c>
      <c r="E269" t="n">
        <v>0</v>
      </c>
      <c r="F269" t="n">
        <v>0</v>
      </c>
      <c r="G269" t="n">
        <v>0</v>
      </c>
      <c r="H269" t="n">
        <v>5</v>
      </c>
      <c r="I269" t="n">
        <v>0</v>
      </c>
      <c r="J269" t="n">
        <v>0</v>
      </c>
      <c r="K269" t="n">
        <v>10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inlineStr">
        <is>
          <t>focal_orb</t>
        </is>
      </c>
      <c r="B270" t="n">
        <v>8</v>
      </c>
      <c r="C270" t="n">
        <v>21345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10</v>
      </c>
      <c r="L270" t="n">
        <v>0</v>
      </c>
      <c r="M270" t="n">
        <v>-10</v>
      </c>
      <c r="N270" t="n">
        <v>0</v>
      </c>
      <c r="O270" t="n">
        <v>0</v>
      </c>
      <c r="P270" t="n">
        <v>2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inlineStr">
        <is>
          <t>folhardi_ring</t>
        </is>
      </c>
      <c r="B271" t="n">
        <v>24576</v>
      </c>
      <c r="C271" t="n">
        <v>10789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9</v>
      </c>
      <c r="L271" t="n">
        <v>0</v>
      </c>
      <c r="M271" t="n">
        <v>-4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inlineStr">
        <is>
          <t>foppish_tunica</t>
        </is>
      </c>
      <c r="B272" t="n">
        <v>32</v>
      </c>
      <c r="C272" t="n">
        <v>26877</v>
      </c>
      <c r="D272" t="n">
        <v>29</v>
      </c>
      <c r="E272" t="n">
        <v>37</v>
      </c>
      <c r="F272" t="n">
        <v>29</v>
      </c>
      <c r="G272" t="n">
        <v>36</v>
      </c>
      <c r="H272" t="n">
        <v>28</v>
      </c>
      <c r="I272" t="n">
        <v>28</v>
      </c>
      <c r="J272" t="n">
        <v>28</v>
      </c>
      <c r="K272" t="n">
        <v>0</v>
      </c>
      <c r="L272" t="n">
        <v>0</v>
      </c>
      <c r="M272" t="n">
        <v>25</v>
      </c>
      <c r="N272" t="n">
        <v>3</v>
      </c>
      <c r="O272" t="n">
        <v>0</v>
      </c>
      <c r="P272" t="n">
        <v>0</v>
      </c>
      <c r="Q272" t="n">
        <v>0</v>
      </c>
      <c r="R272" t="n">
        <v>0</v>
      </c>
      <c r="S272" t="n">
        <v>400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inlineStr">
        <is>
          <t>foppish_tunica_+1</t>
        </is>
      </c>
      <c r="B273" t="n">
        <v>32</v>
      </c>
      <c r="C273" t="n">
        <v>26878</v>
      </c>
      <c r="D273" t="n">
        <v>30</v>
      </c>
      <c r="E273" t="n">
        <v>38</v>
      </c>
      <c r="F273" t="n">
        <v>30</v>
      </c>
      <c r="G273" t="n">
        <v>37</v>
      </c>
      <c r="H273" t="n">
        <v>29</v>
      </c>
      <c r="I273" t="n">
        <v>29</v>
      </c>
      <c r="J273" t="n">
        <v>29</v>
      </c>
      <c r="K273" t="n">
        <v>0</v>
      </c>
      <c r="L273" t="n">
        <v>0</v>
      </c>
      <c r="M273" t="n">
        <v>26</v>
      </c>
      <c r="N273" t="n">
        <v>4</v>
      </c>
      <c r="O273" t="n">
        <v>0</v>
      </c>
      <c r="P273" t="n">
        <v>0</v>
      </c>
      <c r="Q273" t="n">
        <v>0</v>
      </c>
      <c r="R273" t="n">
        <v>0</v>
      </c>
      <c r="S273" t="n">
        <v>400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inlineStr">
        <is>
          <t>fortified_ring</t>
        </is>
      </c>
      <c r="B274" t="n">
        <v>24576</v>
      </c>
      <c r="C274" t="n">
        <v>10773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inlineStr">
        <is>
          <t>found._breastplate</t>
        </is>
      </c>
      <c r="B275" t="n">
        <v>32</v>
      </c>
      <c r="C275" t="n">
        <v>27910</v>
      </c>
      <c r="D275" t="n">
        <v>30</v>
      </c>
      <c r="E275" t="n">
        <v>26</v>
      </c>
      <c r="F275" t="n">
        <v>30</v>
      </c>
      <c r="G275" t="n">
        <v>21</v>
      </c>
      <c r="H275" t="n">
        <v>21</v>
      </c>
      <c r="I275" t="n">
        <v>21</v>
      </c>
      <c r="J275" t="n">
        <v>21</v>
      </c>
      <c r="K275" t="n">
        <v>20</v>
      </c>
      <c r="L275" t="n">
        <v>0</v>
      </c>
      <c r="M275" t="n">
        <v>20</v>
      </c>
      <c r="N275" t="n">
        <v>0</v>
      </c>
      <c r="O275" t="n">
        <v>0</v>
      </c>
      <c r="P275" t="n">
        <v>3</v>
      </c>
      <c r="Q275" t="n">
        <v>0</v>
      </c>
      <c r="R275" t="n">
        <v>0</v>
      </c>
      <c r="S275" t="n">
        <v>300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inlineStr">
        <is>
          <t>founders_corona</t>
        </is>
      </c>
      <c r="B276" t="n">
        <v>16</v>
      </c>
      <c r="C276" t="n">
        <v>27764</v>
      </c>
      <c r="D276" t="n">
        <v>24</v>
      </c>
      <c r="E276" t="n">
        <v>20</v>
      </c>
      <c r="F276" t="n">
        <v>23</v>
      </c>
      <c r="G276" t="n">
        <v>17</v>
      </c>
      <c r="H276" t="n">
        <v>14</v>
      </c>
      <c r="I276" t="n">
        <v>14</v>
      </c>
      <c r="J276" t="n">
        <v>14</v>
      </c>
      <c r="K276" t="n">
        <v>0</v>
      </c>
      <c r="L276" t="n">
        <v>0</v>
      </c>
      <c r="M276" t="n">
        <v>20</v>
      </c>
      <c r="N276" t="n">
        <v>0</v>
      </c>
      <c r="O276" t="n">
        <v>0</v>
      </c>
      <c r="P276" t="n">
        <v>2</v>
      </c>
      <c r="Q276" t="n">
        <v>0</v>
      </c>
      <c r="R276" t="n">
        <v>0</v>
      </c>
      <c r="S276" t="n">
        <v>700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</row>
    <row r="277">
      <c r="A277" t="inlineStr">
        <is>
          <t>founders_gauntlets</t>
        </is>
      </c>
      <c r="B277" t="n">
        <v>64</v>
      </c>
      <c r="C277" t="n">
        <v>28049</v>
      </c>
      <c r="D277" t="n">
        <v>11</v>
      </c>
      <c r="E277" t="n">
        <v>34</v>
      </c>
      <c r="F277" t="n">
        <v>34</v>
      </c>
      <c r="G277" t="n">
        <v>10</v>
      </c>
      <c r="H277" t="n">
        <v>8</v>
      </c>
      <c r="I277" t="n">
        <v>25</v>
      </c>
      <c r="J277" t="n">
        <v>19</v>
      </c>
      <c r="K277" t="n">
        <v>20</v>
      </c>
      <c r="L277" t="n">
        <v>0</v>
      </c>
      <c r="M277" t="n">
        <v>0</v>
      </c>
      <c r="N277" t="n">
        <v>0</v>
      </c>
      <c r="O277" t="n">
        <v>0</v>
      </c>
      <c r="P277" t="n">
        <v>2</v>
      </c>
      <c r="Q277" t="n">
        <v>0</v>
      </c>
      <c r="R277" t="n">
        <v>0</v>
      </c>
      <c r="S277" t="n">
        <v>400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inlineStr">
        <is>
          <t>founders_greaves</t>
        </is>
      </c>
      <c r="B278" t="n">
        <v>256</v>
      </c>
      <c r="C278" t="n">
        <v>28330</v>
      </c>
      <c r="D278" t="n">
        <v>19</v>
      </c>
      <c r="E278" t="n">
        <v>21</v>
      </c>
      <c r="F278" t="n">
        <v>19</v>
      </c>
      <c r="G278" t="n">
        <v>28</v>
      </c>
      <c r="H278" t="n">
        <v>0</v>
      </c>
      <c r="I278" t="n">
        <v>7</v>
      </c>
      <c r="J278" t="n">
        <v>21</v>
      </c>
      <c r="K278" t="n">
        <v>0</v>
      </c>
      <c r="L278" t="n">
        <v>0</v>
      </c>
      <c r="M278" t="n">
        <v>20</v>
      </c>
      <c r="N278" t="n">
        <v>0</v>
      </c>
      <c r="O278" t="n">
        <v>0</v>
      </c>
      <c r="P278" t="n">
        <v>2</v>
      </c>
      <c r="Q278" t="n">
        <v>0</v>
      </c>
      <c r="R278" t="n">
        <v>0</v>
      </c>
      <c r="S278" t="n">
        <v>300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</row>
    <row r="279">
      <c r="A279" t="inlineStr">
        <is>
          <t>founders_hose</t>
        </is>
      </c>
      <c r="B279" t="n">
        <v>128</v>
      </c>
      <c r="C279" t="n">
        <v>28191</v>
      </c>
      <c r="D279" t="n">
        <v>40</v>
      </c>
      <c r="E279" t="n">
        <v>0</v>
      </c>
      <c r="F279" t="n">
        <v>28</v>
      </c>
      <c r="G279" t="n">
        <v>17</v>
      </c>
      <c r="H279" t="n">
        <v>25</v>
      </c>
      <c r="I279" t="n">
        <v>15</v>
      </c>
      <c r="J279" t="n">
        <v>12</v>
      </c>
      <c r="K279" t="n">
        <v>20</v>
      </c>
      <c r="L279" t="n">
        <v>0</v>
      </c>
      <c r="M279" t="n">
        <v>0</v>
      </c>
      <c r="N279" t="n">
        <v>0</v>
      </c>
      <c r="O279" t="n">
        <v>0</v>
      </c>
      <c r="P279" t="n">
        <v>2</v>
      </c>
      <c r="Q279" t="n">
        <v>0</v>
      </c>
      <c r="R279" t="n">
        <v>0</v>
      </c>
      <c r="S279" t="n">
        <v>500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</row>
    <row r="280">
      <c r="A280" t="inlineStr">
        <is>
          <t>gallian_helm_+1</t>
        </is>
      </c>
      <c r="B280" t="n">
        <v>16</v>
      </c>
      <c r="C280" t="n">
        <v>26700</v>
      </c>
      <c r="D280" t="n">
        <v>27</v>
      </c>
      <c r="E280" t="n">
        <v>9</v>
      </c>
      <c r="F280" t="n">
        <v>27</v>
      </c>
      <c r="G280" t="n">
        <v>9</v>
      </c>
      <c r="H280" t="n">
        <v>8</v>
      </c>
      <c r="I280" t="n">
        <v>8</v>
      </c>
      <c r="J280" t="n">
        <v>8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700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</row>
    <row r="281">
      <c r="A281" t="inlineStr">
        <is>
          <t>gaudryi_necklace</t>
        </is>
      </c>
      <c r="B281" t="n">
        <v>512</v>
      </c>
      <c r="C281" t="n">
        <v>28366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4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</row>
    <row r="282">
      <c r="A282" t="inlineStr">
        <is>
          <t>gavialis_helm</t>
        </is>
      </c>
      <c r="B282" t="n">
        <v>16</v>
      </c>
      <c r="C282" t="n">
        <v>26702</v>
      </c>
      <c r="D282" t="n">
        <v>21</v>
      </c>
      <c r="E282" t="n">
        <v>25</v>
      </c>
      <c r="F282" t="n">
        <v>21</v>
      </c>
      <c r="G282" t="n">
        <v>25</v>
      </c>
      <c r="H282" t="n">
        <v>18</v>
      </c>
      <c r="I282" t="n">
        <v>18</v>
      </c>
      <c r="J282" t="n">
        <v>19</v>
      </c>
      <c r="K282" t="n">
        <v>25</v>
      </c>
      <c r="L282" t="n">
        <v>0</v>
      </c>
      <c r="M282" t="n">
        <v>25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800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inlineStr">
        <is>
          <t>gefechtbrust</t>
        </is>
      </c>
      <c r="B283" t="n">
        <v>32</v>
      </c>
      <c r="C283" t="n">
        <v>26881</v>
      </c>
      <c r="D283" t="n">
        <v>33</v>
      </c>
      <c r="E283" t="n">
        <v>21</v>
      </c>
      <c r="F283" t="n">
        <v>33</v>
      </c>
      <c r="G283" t="n">
        <v>21</v>
      </c>
      <c r="H283" t="n">
        <v>21</v>
      </c>
      <c r="I283" t="n">
        <v>21</v>
      </c>
      <c r="J283" t="n">
        <v>21</v>
      </c>
      <c r="K283" t="n">
        <v>15</v>
      </c>
      <c r="L283" t="n">
        <v>0</v>
      </c>
      <c r="M283" t="n">
        <v>15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300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inlineStr">
        <is>
          <t>gefechthentzes</t>
        </is>
      </c>
      <c r="B284" t="n">
        <v>64</v>
      </c>
      <c r="C284" t="n">
        <v>27987</v>
      </c>
      <c r="D284" t="n">
        <v>6</v>
      </c>
      <c r="E284" t="n">
        <v>35</v>
      </c>
      <c r="F284" t="n">
        <v>30</v>
      </c>
      <c r="G284" t="n">
        <v>7</v>
      </c>
      <c r="H284" t="n">
        <v>10</v>
      </c>
      <c r="I284" t="n">
        <v>26</v>
      </c>
      <c r="J284" t="n">
        <v>20</v>
      </c>
      <c r="K284" t="n">
        <v>0</v>
      </c>
      <c r="L284" t="n">
        <v>0</v>
      </c>
      <c r="M284" t="n">
        <v>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400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</row>
    <row r="285">
      <c r="A285" t="inlineStr">
        <is>
          <t>gefechtschuhs</t>
        </is>
      </c>
      <c r="B285" t="n">
        <v>256</v>
      </c>
      <c r="C285" t="n">
        <v>27396</v>
      </c>
      <c r="D285" t="n">
        <v>17</v>
      </c>
      <c r="E285" t="n">
        <v>19</v>
      </c>
      <c r="F285" t="n">
        <v>15</v>
      </c>
      <c r="G285" t="n">
        <v>32</v>
      </c>
      <c r="H285" t="n">
        <v>0</v>
      </c>
      <c r="I285" t="n">
        <v>10</v>
      </c>
      <c r="J285" t="n">
        <v>26</v>
      </c>
      <c r="K285" t="n">
        <v>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300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inlineStr">
        <is>
          <t>genmei_kabuto</t>
        </is>
      </c>
      <c r="B286" t="n">
        <v>16</v>
      </c>
      <c r="C286" t="n">
        <v>25629</v>
      </c>
      <c r="D286" t="n">
        <v>21</v>
      </c>
      <c r="E286" t="n">
        <v>17</v>
      </c>
      <c r="F286" t="n">
        <v>44</v>
      </c>
      <c r="G286" t="n">
        <v>20</v>
      </c>
      <c r="H286" t="n">
        <v>11</v>
      </c>
      <c r="I286" t="n">
        <v>11</v>
      </c>
      <c r="J286" t="n">
        <v>11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700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inlineStr">
        <is>
          <t>gerdr_belt_+1</t>
        </is>
      </c>
      <c r="B287" t="n">
        <v>1024</v>
      </c>
      <c r="C287" t="n">
        <v>26361</v>
      </c>
      <c r="D287" t="n">
        <v>0</v>
      </c>
      <c r="E287" t="n">
        <v>7</v>
      </c>
      <c r="F287" t="n">
        <v>0</v>
      </c>
      <c r="G287" t="n">
        <v>7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4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4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inlineStr">
        <is>
          <t>gere_ring</t>
        </is>
      </c>
      <c r="B288" t="n">
        <v>24576</v>
      </c>
      <c r="C288" t="n">
        <v>28471</v>
      </c>
      <c r="D288" t="n">
        <v>10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16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</row>
    <row r="289">
      <c r="A289" t="inlineStr">
        <is>
          <t>gevaudan_belt</t>
        </is>
      </c>
      <c r="B289" t="n">
        <v>1024</v>
      </c>
      <c r="C289" t="n">
        <v>28453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10</v>
      </c>
      <c r="L289" t="n">
        <v>0</v>
      </c>
      <c r="M289" t="n">
        <v>10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inlineStr">
        <is>
          <t>ghadhab_nails</t>
        </is>
      </c>
      <c r="B290" t="n">
        <v>256</v>
      </c>
      <c r="C290" t="n">
        <v>10352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300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inlineStr">
        <is>
          <t>ghillie_earring</t>
        </is>
      </c>
      <c r="B291" t="n">
        <v>6144</v>
      </c>
      <c r="C291" t="n">
        <v>11056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8</v>
      </c>
      <c r="L291" t="n">
        <v>0</v>
      </c>
      <c r="M291" t="n">
        <v>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inlineStr">
        <is>
          <t>ghillie_earring_+1</t>
        </is>
      </c>
      <c r="B292" t="n">
        <v>6144</v>
      </c>
      <c r="C292" t="n">
        <v>11057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9</v>
      </c>
      <c r="L292" t="n">
        <v>0</v>
      </c>
      <c r="M292" t="n">
        <v>3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</row>
    <row r="293">
      <c r="A293" t="inlineStr">
        <is>
          <t>gigan._boots_+1</t>
        </is>
      </c>
      <c r="B293" t="n">
        <v>256</v>
      </c>
      <c r="C293" t="n">
        <v>28283</v>
      </c>
      <c r="D293" t="n">
        <v>25</v>
      </c>
      <c r="E293" t="n">
        <v>-7</v>
      </c>
      <c r="F293" t="n">
        <v>-7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</row>
    <row r="294">
      <c r="A294" t="inlineStr">
        <is>
          <t>ginsen</t>
        </is>
      </c>
      <c r="B294" t="n">
        <v>8</v>
      </c>
      <c r="C294" t="n">
        <v>21371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10</v>
      </c>
      <c r="L294" t="n">
        <v>0</v>
      </c>
      <c r="M294" t="n">
        <v>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</row>
    <row r="295">
      <c r="A295" t="inlineStr">
        <is>
          <t>gor._brayettes_+1</t>
        </is>
      </c>
      <c r="B295" t="n">
        <v>128</v>
      </c>
      <c r="C295" t="n">
        <v>28152</v>
      </c>
      <c r="D295" t="n">
        <v>35</v>
      </c>
      <c r="E295" t="n">
        <v>0</v>
      </c>
      <c r="F295" t="n">
        <v>21</v>
      </c>
      <c r="G295" t="n">
        <v>16</v>
      </c>
      <c r="H295" t="n">
        <v>25</v>
      </c>
      <c r="I295" t="n">
        <v>12</v>
      </c>
      <c r="J295" t="n">
        <v>10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500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</row>
    <row r="296">
      <c r="A296" t="inlineStr">
        <is>
          <t>gor._sollerets_+1</t>
        </is>
      </c>
      <c r="B296" t="n">
        <v>256</v>
      </c>
      <c r="C296" t="n">
        <v>28289</v>
      </c>
      <c r="D296" t="n">
        <v>20</v>
      </c>
      <c r="E296" t="n">
        <v>16</v>
      </c>
      <c r="F296" t="n">
        <v>17</v>
      </c>
      <c r="G296" t="n">
        <v>29</v>
      </c>
      <c r="H296" t="n">
        <v>0</v>
      </c>
      <c r="I296" t="n">
        <v>10</v>
      </c>
      <c r="J296" t="n">
        <v>26</v>
      </c>
      <c r="K296" t="n">
        <v>14</v>
      </c>
      <c r="L296" t="n">
        <v>0</v>
      </c>
      <c r="M296" t="n">
        <v>14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300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inlineStr">
        <is>
          <t>gorney_brayettes</t>
        </is>
      </c>
      <c r="B297" t="n">
        <v>128</v>
      </c>
      <c r="C297" t="n">
        <v>28188</v>
      </c>
      <c r="D297" t="n">
        <v>19</v>
      </c>
      <c r="E297" t="n">
        <v>0</v>
      </c>
      <c r="F297" t="n">
        <v>11</v>
      </c>
      <c r="G297" t="n">
        <v>8</v>
      </c>
      <c r="H297" t="n">
        <v>13</v>
      </c>
      <c r="I297" t="n">
        <v>6</v>
      </c>
      <c r="J297" t="n">
        <v>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400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</row>
    <row r="298">
      <c r="A298" t="inlineStr">
        <is>
          <t>gorney_haubert</t>
        </is>
      </c>
      <c r="B298" t="n">
        <v>32</v>
      </c>
      <c r="C298" t="n">
        <v>27907</v>
      </c>
      <c r="D298" t="n">
        <v>20</v>
      </c>
      <c r="E298" t="n">
        <v>15</v>
      </c>
      <c r="F298" t="n">
        <v>20</v>
      </c>
      <c r="G298" t="n">
        <v>15</v>
      </c>
      <c r="H298" t="n">
        <v>15</v>
      </c>
      <c r="I298" t="n">
        <v>15</v>
      </c>
      <c r="J298" t="n">
        <v>15</v>
      </c>
      <c r="K298" t="n">
        <v>0</v>
      </c>
      <c r="L298" t="n">
        <v>0</v>
      </c>
      <c r="M298" t="n">
        <v>15</v>
      </c>
      <c r="N298" t="n">
        <v>0</v>
      </c>
      <c r="O298" t="n">
        <v>0</v>
      </c>
      <c r="P298" t="n">
        <v>2</v>
      </c>
      <c r="Q298" t="n">
        <v>0</v>
      </c>
      <c r="R298" t="n">
        <v>0</v>
      </c>
      <c r="S298" t="n">
        <v>300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</row>
    <row r="299">
      <c r="A299" t="inlineStr">
        <is>
          <t>gorney_haubert_+1</t>
        </is>
      </c>
      <c r="B299" t="n">
        <v>32</v>
      </c>
      <c r="C299" t="n">
        <v>27863</v>
      </c>
      <c r="D299" t="n">
        <v>34</v>
      </c>
      <c r="E299" t="n">
        <v>24</v>
      </c>
      <c r="F299" t="n">
        <v>34</v>
      </c>
      <c r="G299" t="n">
        <v>24</v>
      </c>
      <c r="H299" t="n">
        <v>24</v>
      </c>
      <c r="I299" t="n">
        <v>24</v>
      </c>
      <c r="J299" t="n">
        <v>24</v>
      </c>
      <c r="K299" t="n">
        <v>0</v>
      </c>
      <c r="L299" t="n">
        <v>0</v>
      </c>
      <c r="M299" t="n">
        <v>17</v>
      </c>
      <c r="N299" t="n">
        <v>0</v>
      </c>
      <c r="O299" t="n">
        <v>0</v>
      </c>
      <c r="P299" t="n">
        <v>2</v>
      </c>
      <c r="Q299" t="n">
        <v>0</v>
      </c>
      <c r="R299" t="n">
        <v>0</v>
      </c>
      <c r="S299" t="n">
        <v>300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</row>
    <row r="300">
      <c r="A300" t="inlineStr">
        <is>
          <t>gorney_morion</t>
        </is>
      </c>
      <c r="B300" t="n">
        <v>16</v>
      </c>
      <c r="C300" t="n">
        <v>27761</v>
      </c>
      <c r="D300" t="n">
        <v>19</v>
      </c>
      <c r="E300" t="n">
        <v>16</v>
      </c>
      <c r="F300" t="n">
        <v>19</v>
      </c>
      <c r="G300" t="n">
        <v>16</v>
      </c>
      <c r="H300" t="n">
        <v>6</v>
      </c>
      <c r="I300" t="n">
        <v>6</v>
      </c>
      <c r="J300" t="n">
        <v>6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600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inlineStr">
        <is>
          <t>gorney_morion_+1</t>
        </is>
      </c>
      <c r="B301" t="n">
        <v>16</v>
      </c>
      <c r="C301" t="n">
        <v>27711</v>
      </c>
      <c r="D301" t="n">
        <v>29</v>
      </c>
      <c r="E301" t="n">
        <v>23</v>
      </c>
      <c r="F301" t="n">
        <v>29</v>
      </c>
      <c r="G301" t="n">
        <v>23</v>
      </c>
      <c r="H301" t="n">
        <v>12</v>
      </c>
      <c r="I301" t="n">
        <v>12</v>
      </c>
      <c r="J301" t="n">
        <v>12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700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inlineStr">
        <is>
          <t>gorney_moufles</t>
        </is>
      </c>
      <c r="B302" t="n">
        <v>64</v>
      </c>
      <c r="C302" t="n">
        <v>28046</v>
      </c>
      <c r="D302" t="n">
        <v>5</v>
      </c>
      <c r="E302" t="n">
        <v>15</v>
      </c>
      <c r="F302" t="n">
        <v>17</v>
      </c>
      <c r="G302" t="n">
        <v>0</v>
      </c>
      <c r="H302" t="n">
        <v>4</v>
      </c>
      <c r="I302" t="n">
        <v>13</v>
      </c>
      <c r="J302" t="n">
        <v>10</v>
      </c>
      <c r="K302" t="n">
        <v>10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400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</row>
    <row r="303">
      <c r="A303" t="inlineStr">
        <is>
          <t>gorney_moufles_+1</t>
        </is>
      </c>
      <c r="B303" t="n">
        <v>64</v>
      </c>
      <c r="C303" t="n">
        <v>28010</v>
      </c>
      <c r="D303" t="n">
        <v>10</v>
      </c>
      <c r="E303" t="n">
        <v>29</v>
      </c>
      <c r="F303" t="n">
        <v>33</v>
      </c>
      <c r="G303" t="n">
        <v>0</v>
      </c>
      <c r="H303" t="n">
        <v>8</v>
      </c>
      <c r="I303" t="n">
        <v>25</v>
      </c>
      <c r="J303" t="n">
        <v>19</v>
      </c>
      <c r="K303" t="n">
        <v>12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500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</row>
    <row r="304">
      <c r="A304" t="inlineStr">
        <is>
          <t>gorney_sollerets</t>
        </is>
      </c>
      <c r="B304" t="n">
        <v>256</v>
      </c>
      <c r="C304" t="n">
        <v>28327</v>
      </c>
      <c r="D304" t="n">
        <v>12</v>
      </c>
      <c r="E304" t="n">
        <v>10</v>
      </c>
      <c r="F304" t="n">
        <v>9</v>
      </c>
      <c r="G304" t="n">
        <v>15</v>
      </c>
      <c r="H304" t="n">
        <v>0</v>
      </c>
      <c r="I304" t="n">
        <v>5</v>
      </c>
      <c r="J304" t="n">
        <v>14</v>
      </c>
      <c r="K304" t="n">
        <v>13</v>
      </c>
      <c r="L304" t="n">
        <v>0</v>
      </c>
      <c r="M304" t="n">
        <v>13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300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</row>
    <row r="305">
      <c r="A305" t="inlineStr">
        <is>
          <t>grandoynes_mail</t>
        </is>
      </c>
      <c r="B305" t="n">
        <v>32</v>
      </c>
      <c r="C305" t="n">
        <v>10284</v>
      </c>
      <c r="D305" t="n">
        <v>12</v>
      </c>
      <c r="E305" t="n">
        <v>12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19</v>
      </c>
      <c r="L305" t="n">
        <v>0</v>
      </c>
      <c r="M305" t="n">
        <v>0</v>
      </c>
      <c r="N305" t="n">
        <v>2</v>
      </c>
      <c r="O305" t="n">
        <v>0</v>
      </c>
      <c r="P305" t="n">
        <v>0</v>
      </c>
      <c r="Q305" t="n">
        <v>0</v>
      </c>
      <c r="R305" t="n">
        <v>0</v>
      </c>
      <c r="S305" t="n">
        <v>300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inlineStr">
        <is>
          <t>grenade_core</t>
        </is>
      </c>
      <c r="B306" t="n">
        <v>8</v>
      </c>
      <c r="C306" t="n">
        <v>22251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13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inlineStr">
        <is>
          <t>grit_earring</t>
        </is>
      </c>
      <c r="B307" t="n">
        <v>6144</v>
      </c>
      <c r="C307" t="n">
        <v>28489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inlineStr">
        <is>
          <t>grunfeld_rope</t>
        </is>
      </c>
      <c r="B308" t="n">
        <v>1024</v>
      </c>
      <c r="C308" t="n">
        <v>28408</v>
      </c>
      <c r="D308" t="n">
        <v>5</v>
      </c>
      <c r="E308" t="n">
        <v>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20</v>
      </c>
      <c r="L308" t="n">
        <v>0</v>
      </c>
      <c r="M308" t="n">
        <v>10</v>
      </c>
      <c r="N308" t="n">
        <v>0</v>
      </c>
      <c r="O308" t="n">
        <v>0</v>
      </c>
      <c r="P308" t="n">
        <v>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inlineStr">
        <is>
          <t>gyve_doublet</t>
        </is>
      </c>
      <c r="B309" t="n">
        <v>32</v>
      </c>
      <c r="C309" t="n">
        <v>25708</v>
      </c>
      <c r="D309" t="n">
        <v>19</v>
      </c>
      <c r="E309" t="n">
        <v>19</v>
      </c>
      <c r="F309" t="n">
        <v>19</v>
      </c>
      <c r="G309" t="n">
        <v>40</v>
      </c>
      <c r="H309" t="n">
        <v>39</v>
      </c>
      <c r="I309" t="n">
        <v>33</v>
      </c>
      <c r="J309" t="n">
        <v>33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300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</row>
    <row r="310">
      <c r="A310" t="inlineStr">
        <is>
          <t>gyve_trousers</t>
        </is>
      </c>
      <c r="B310" t="n">
        <v>128</v>
      </c>
      <c r="C310" t="n">
        <v>27324</v>
      </c>
      <c r="D310" t="n">
        <v>19</v>
      </c>
      <c r="E310" t="n">
        <v>28</v>
      </c>
      <c r="F310" t="n">
        <v>19</v>
      </c>
      <c r="G310" t="n">
        <v>5</v>
      </c>
      <c r="H310" t="n">
        <v>28</v>
      </c>
      <c r="I310" t="n">
        <v>35</v>
      </c>
      <c r="J310" t="n">
        <v>23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500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inlineStr">
        <is>
          <t>hachi._chain._+1</t>
        </is>
      </c>
      <c r="B311" t="n">
        <v>32</v>
      </c>
      <c r="C311" t="n">
        <v>27840</v>
      </c>
      <c r="D311" t="n">
        <v>29</v>
      </c>
      <c r="E311" t="n">
        <v>25</v>
      </c>
      <c r="F311" t="n">
        <v>26</v>
      </c>
      <c r="G311" t="n">
        <v>25</v>
      </c>
      <c r="H311" t="n">
        <v>24</v>
      </c>
      <c r="I311" t="n">
        <v>24</v>
      </c>
      <c r="J311" t="n">
        <v>24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400</v>
      </c>
      <c r="T311" t="n">
        <v>0</v>
      </c>
      <c r="U311" t="n">
        <v>0</v>
      </c>
      <c r="V311" t="n">
        <v>8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inlineStr">
        <is>
          <t>hachi._chainmail</t>
        </is>
      </c>
      <c r="B312" t="n">
        <v>32</v>
      </c>
      <c r="C312" t="n">
        <v>27819</v>
      </c>
      <c r="D312" t="n">
        <v>20</v>
      </c>
      <c r="E312" t="n">
        <v>16</v>
      </c>
      <c r="F312" t="n">
        <v>18</v>
      </c>
      <c r="G312" t="n">
        <v>16</v>
      </c>
      <c r="H312" t="n">
        <v>15</v>
      </c>
      <c r="I312" t="n">
        <v>15</v>
      </c>
      <c r="J312" t="n">
        <v>15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400</v>
      </c>
      <c r="T312" t="n">
        <v>0</v>
      </c>
      <c r="U312" t="n">
        <v>0</v>
      </c>
      <c r="V312" t="n">
        <v>7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</row>
    <row r="313">
      <c r="A313" t="inlineStr">
        <is>
          <t>hachi._hakama_+1</t>
        </is>
      </c>
      <c r="B313" t="n">
        <v>128</v>
      </c>
      <c r="C313" t="n">
        <v>28123</v>
      </c>
      <c r="D313" t="n">
        <v>32</v>
      </c>
      <c r="E313" t="n">
        <v>0</v>
      </c>
      <c r="F313" t="n">
        <v>14</v>
      </c>
      <c r="G313" t="n">
        <v>21</v>
      </c>
      <c r="H313" t="n">
        <v>32</v>
      </c>
      <c r="I313" t="n">
        <v>17</v>
      </c>
      <c r="J313" t="n">
        <v>10</v>
      </c>
      <c r="K313" t="n">
        <v>0</v>
      </c>
      <c r="L313" t="n">
        <v>0</v>
      </c>
      <c r="M313" t="n">
        <v>14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600</v>
      </c>
      <c r="T313" t="n">
        <v>0</v>
      </c>
      <c r="U313" t="n">
        <v>0</v>
      </c>
      <c r="V313" t="n">
        <v>3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inlineStr">
        <is>
          <t>hachi._hatsu._+1</t>
        </is>
      </c>
      <c r="B314" t="n">
        <v>16</v>
      </c>
      <c r="C314" t="n">
        <v>27696</v>
      </c>
      <c r="D314" t="n">
        <v>23</v>
      </c>
      <c r="E314" t="n">
        <v>23</v>
      </c>
      <c r="F314" t="n">
        <v>22</v>
      </c>
      <c r="G314" t="n">
        <v>22</v>
      </c>
      <c r="H314" t="n">
        <v>21</v>
      </c>
      <c r="I314" t="n">
        <v>21</v>
      </c>
      <c r="J314" t="n">
        <v>21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800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inlineStr">
        <is>
          <t>hachi._kyahan_+1</t>
        </is>
      </c>
      <c r="B315" t="n">
        <v>256</v>
      </c>
      <c r="C315" t="n">
        <v>28256</v>
      </c>
      <c r="D315" t="n">
        <v>14</v>
      </c>
      <c r="E315" t="n">
        <v>15</v>
      </c>
      <c r="F315" t="n">
        <v>11</v>
      </c>
      <c r="G315" t="n">
        <v>34</v>
      </c>
      <c r="H315" t="n">
        <v>10</v>
      </c>
      <c r="I315" t="n">
        <v>12</v>
      </c>
      <c r="J315" t="n">
        <v>29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400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inlineStr">
        <is>
          <t>hachiya_chain._+2</t>
        </is>
      </c>
      <c r="B316" t="n">
        <v>32</v>
      </c>
      <c r="C316" t="n">
        <v>23119</v>
      </c>
      <c r="D316" t="n">
        <v>34</v>
      </c>
      <c r="E316" t="n">
        <v>30</v>
      </c>
      <c r="F316" t="n">
        <v>31</v>
      </c>
      <c r="G316" t="n">
        <v>30</v>
      </c>
      <c r="H316" t="n">
        <v>29</v>
      </c>
      <c r="I316" t="n">
        <v>29</v>
      </c>
      <c r="J316" t="n">
        <v>29</v>
      </c>
      <c r="K316" t="n">
        <v>0</v>
      </c>
      <c r="L316" t="n">
        <v>0</v>
      </c>
      <c r="M316" t="n">
        <v>40</v>
      </c>
      <c r="N316" t="n">
        <v>0</v>
      </c>
      <c r="O316" t="n">
        <v>4</v>
      </c>
      <c r="P316" t="n">
        <v>0</v>
      </c>
      <c r="Q316" t="n">
        <v>0</v>
      </c>
      <c r="R316" t="n">
        <v>0</v>
      </c>
      <c r="S316" t="n">
        <v>400</v>
      </c>
      <c r="T316" t="n">
        <v>0</v>
      </c>
      <c r="U316" t="n">
        <v>0</v>
      </c>
      <c r="V316" t="n">
        <v>9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</row>
    <row r="317">
      <c r="A317" t="inlineStr">
        <is>
          <t>hachiya_chain._+3</t>
        </is>
      </c>
      <c r="B317" t="n">
        <v>32</v>
      </c>
      <c r="C317" t="n">
        <v>23454</v>
      </c>
      <c r="D317" t="n">
        <v>39</v>
      </c>
      <c r="E317" t="n">
        <v>35</v>
      </c>
      <c r="F317" t="n">
        <v>36</v>
      </c>
      <c r="G317" t="n">
        <v>35</v>
      </c>
      <c r="H317" t="n">
        <v>34</v>
      </c>
      <c r="I317" t="n">
        <v>34</v>
      </c>
      <c r="J317" t="n">
        <v>34</v>
      </c>
      <c r="K317" t="n">
        <v>0</v>
      </c>
      <c r="L317" t="n">
        <v>0</v>
      </c>
      <c r="M317" t="n">
        <v>50</v>
      </c>
      <c r="N317" t="n">
        <v>8</v>
      </c>
      <c r="O317" t="n">
        <v>5</v>
      </c>
      <c r="P317" t="n">
        <v>0</v>
      </c>
      <c r="Q317" t="n">
        <v>0</v>
      </c>
      <c r="R317" t="n">
        <v>0</v>
      </c>
      <c r="S317" t="n">
        <v>400</v>
      </c>
      <c r="T317" t="n">
        <v>0</v>
      </c>
      <c r="U317" t="n">
        <v>0</v>
      </c>
      <c r="V317" t="n">
        <v>10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inlineStr">
        <is>
          <t>hachiya_hakama</t>
        </is>
      </c>
      <c r="B318" t="n">
        <v>128</v>
      </c>
      <c r="C318" t="n">
        <v>28102</v>
      </c>
      <c r="D318" t="n">
        <v>20</v>
      </c>
      <c r="E318" t="n">
        <v>0</v>
      </c>
      <c r="F318" t="n">
        <v>8</v>
      </c>
      <c r="G318" t="n">
        <v>13</v>
      </c>
      <c r="H318" t="n">
        <v>20</v>
      </c>
      <c r="I318" t="n">
        <v>11</v>
      </c>
      <c r="J318" t="n">
        <v>6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600</v>
      </c>
      <c r="T318" t="n">
        <v>0</v>
      </c>
      <c r="U318" t="n">
        <v>0</v>
      </c>
      <c r="V318" t="n">
        <v>5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inlineStr">
        <is>
          <t>hachiya_hakama_+2</t>
        </is>
      </c>
      <c r="B319" t="n">
        <v>128</v>
      </c>
      <c r="C319" t="n">
        <v>23253</v>
      </c>
      <c r="D319" t="n">
        <v>37</v>
      </c>
      <c r="E319" t="n">
        <v>0</v>
      </c>
      <c r="F319" t="n">
        <v>19</v>
      </c>
      <c r="G319" t="n">
        <v>26</v>
      </c>
      <c r="H319" t="n">
        <v>37</v>
      </c>
      <c r="I319" t="n">
        <v>22</v>
      </c>
      <c r="J319" t="n">
        <v>15</v>
      </c>
      <c r="K319" t="n">
        <v>0</v>
      </c>
      <c r="L319" t="n">
        <v>0</v>
      </c>
      <c r="M319" t="n">
        <v>46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600</v>
      </c>
      <c r="T319" t="n">
        <v>0</v>
      </c>
      <c r="U319" t="n">
        <v>0</v>
      </c>
      <c r="V319" t="n">
        <v>4</v>
      </c>
      <c r="W319" t="n">
        <v>7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</row>
    <row r="320">
      <c r="A320" t="inlineStr">
        <is>
          <t>hachiya_hakama_+3</t>
        </is>
      </c>
      <c r="B320" t="n">
        <v>128</v>
      </c>
      <c r="C320" t="n">
        <v>23588</v>
      </c>
      <c r="D320" t="n">
        <v>42</v>
      </c>
      <c r="E320" t="n">
        <v>0</v>
      </c>
      <c r="F320" t="n">
        <v>24</v>
      </c>
      <c r="G320" t="n">
        <v>31</v>
      </c>
      <c r="H320" t="n">
        <v>42</v>
      </c>
      <c r="I320" t="n">
        <v>27</v>
      </c>
      <c r="J320" t="n">
        <v>20</v>
      </c>
      <c r="K320" t="n">
        <v>0</v>
      </c>
      <c r="L320" t="n">
        <v>0</v>
      </c>
      <c r="M320" t="n">
        <v>56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600</v>
      </c>
      <c r="T320" t="n">
        <v>0</v>
      </c>
      <c r="U320" t="n">
        <v>0</v>
      </c>
      <c r="V320" t="n">
        <v>5</v>
      </c>
      <c r="W320" t="n">
        <v>6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inlineStr">
        <is>
          <t>hachiya_hatsu._+2</t>
        </is>
      </c>
      <c r="B321" t="n">
        <v>16</v>
      </c>
      <c r="C321" t="n">
        <v>23052</v>
      </c>
      <c r="D321" t="n">
        <v>28</v>
      </c>
      <c r="E321" t="n">
        <v>28</v>
      </c>
      <c r="F321" t="n">
        <v>27</v>
      </c>
      <c r="G321" t="n">
        <v>27</v>
      </c>
      <c r="H321" t="n">
        <v>26</v>
      </c>
      <c r="I321" t="n">
        <v>26</v>
      </c>
      <c r="J321" t="n">
        <v>26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800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5</v>
      </c>
      <c r="AA321" t="n">
        <v>0</v>
      </c>
      <c r="AB321" t="n">
        <v>0</v>
      </c>
      <c r="AC321" t="n">
        <v>0</v>
      </c>
    </row>
    <row r="322">
      <c r="A322" t="inlineStr">
        <is>
          <t>hachiya_hatsu._+3</t>
        </is>
      </c>
      <c r="B322" t="n">
        <v>16</v>
      </c>
      <c r="C322" t="n">
        <v>23387</v>
      </c>
      <c r="D322" t="n">
        <v>33</v>
      </c>
      <c r="E322" t="n">
        <v>33</v>
      </c>
      <c r="F322" t="n">
        <v>32</v>
      </c>
      <c r="G322" t="n">
        <v>32</v>
      </c>
      <c r="H322" t="n">
        <v>31</v>
      </c>
      <c r="I322" t="n">
        <v>31</v>
      </c>
      <c r="J322" t="n">
        <v>31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800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10</v>
      </c>
      <c r="AA322" t="n">
        <v>0</v>
      </c>
      <c r="AB322" t="n">
        <v>0</v>
      </c>
      <c r="AC322" t="n">
        <v>0</v>
      </c>
    </row>
    <row r="323">
      <c r="A323" t="inlineStr">
        <is>
          <t>hachiya_hatsuburi</t>
        </is>
      </c>
      <c r="B323" t="n">
        <v>16</v>
      </c>
      <c r="C323" t="n">
        <v>27675</v>
      </c>
      <c r="D323" t="n">
        <v>17</v>
      </c>
      <c r="E323" t="n">
        <v>17</v>
      </c>
      <c r="F323" t="n">
        <v>16</v>
      </c>
      <c r="G323" t="n">
        <v>16</v>
      </c>
      <c r="H323" t="n">
        <v>15</v>
      </c>
      <c r="I323" t="n">
        <v>15</v>
      </c>
      <c r="J323" t="n">
        <v>15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700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</row>
    <row r="324">
      <c r="A324" t="inlineStr">
        <is>
          <t>hachiya_kyahan</t>
        </is>
      </c>
      <c r="B324" t="n">
        <v>256</v>
      </c>
      <c r="C324" t="n">
        <v>28235</v>
      </c>
      <c r="D324" t="n">
        <v>8</v>
      </c>
      <c r="E324" t="n">
        <v>9</v>
      </c>
      <c r="F324" t="n">
        <v>7</v>
      </c>
      <c r="G324" t="n">
        <v>21</v>
      </c>
      <c r="H324" t="n">
        <v>10</v>
      </c>
      <c r="I324" t="n">
        <v>8</v>
      </c>
      <c r="J324" t="n">
        <v>18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400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inlineStr">
        <is>
          <t>hachiya_kyahan_+2</t>
        </is>
      </c>
      <c r="B325" t="n">
        <v>256</v>
      </c>
      <c r="C325" t="n">
        <v>23320</v>
      </c>
      <c r="D325" t="n">
        <v>19</v>
      </c>
      <c r="E325" t="n">
        <v>20</v>
      </c>
      <c r="F325" t="n">
        <v>16</v>
      </c>
      <c r="G325" t="n">
        <v>39</v>
      </c>
      <c r="H325" t="n">
        <v>15</v>
      </c>
      <c r="I325" t="n">
        <v>17</v>
      </c>
      <c r="J325" t="n">
        <v>34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400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</row>
    <row r="326">
      <c r="A326" t="inlineStr">
        <is>
          <t>hachiya_kyahan_+3</t>
        </is>
      </c>
      <c r="B326" t="n">
        <v>256</v>
      </c>
      <c r="C326" t="n">
        <v>23655</v>
      </c>
      <c r="D326" t="n">
        <v>24</v>
      </c>
      <c r="E326" t="n">
        <v>25</v>
      </c>
      <c r="F326" t="n">
        <v>21</v>
      </c>
      <c r="G326" t="n">
        <v>44</v>
      </c>
      <c r="H326" t="n">
        <v>20</v>
      </c>
      <c r="I326" t="n">
        <v>22</v>
      </c>
      <c r="J326" t="n">
        <v>39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400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</row>
    <row r="327">
      <c r="A327" t="inlineStr">
        <is>
          <t>hachiya_tekko</t>
        </is>
      </c>
      <c r="B327" t="n">
        <v>64</v>
      </c>
      <c r="C327" t="n">
        <v>27955</v>
      </c>
      <c r="D327" t="n">
        <v>6</v>
      </c>
      <c r="E327" t="n">
        <v>21</v>
      </c>
      <c r="F327" t="n">
        <v>17</v>
      </c>
      <c r="G327" t="n">
        <v>14</v>
      </c>
      <c r="H327" t="n">
        <v>6</v>
      </c>
      <c r="I327" t="n">
        <v>17</v>
      </c>
      <c r="J327" t="n">
        <v>10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400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</row>
    <row r="328">
      <c r="A328" t="inlineStr">
        <is>
          <t>hachiya_tekko_+1</t>
        </is>
      </c>
      <c r="B328" t="n">
        <v>64</v>
      </c>
      <c r="C328" t="n">
        <v>27976</v>
      </c>
      <c r="D328" t="n">
        <v>10</v>
      </c>
      <c r="E328" t="n">
        <v>34</v>
      </c>
      <c r="F328" t="n">
        <v>28</v>
      </c>
      <c r="G328" t="n">
        <v>16</v>
      </c>
      <c r="H328" t="n">
        <v>10</v>
      </c>
      <c r="I328" t="n">
        <v>28</v>
      </c>
      <c r="J328" t="n">
        <v>16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500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inlineStr">
        <is>
          <t>hachiya_tekko_+2</t>
        </is>
      </c>
      <c r="B329" t="n">
        <v>64</v>
      </c>
      <c r="C329" t="n">
        <v>23186</v>
      </c>
      <c r="D329" t="n">
        <v>15</v>
      </c>
      <c r="E329" t="n">
        <v>39</v>
      </c>
      <c r="F329" t="n">
        <v>33</v>
      </c>
      <c r="G329" t="n">
        <v>21</v>
      </c>
      <c r="H329" t="n">
        <v>15</v>
      </c>
      <c r="I329" t="n">
        <v>33</v>
      </c>
      <c r="J329" t="n">
        <v>21</v>
      </c>
      <c r="K329" t="n">
        <v>0</v>
      </c>
      <c r="L329" t="n">
        <v>0</v>
      </c>
      <c r="M329" t="n">
        <v>38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500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inlineStr">
        <is>
          <t>hachiya_tekko_+3</t>
        </is>
      </c>
      <c r="B330" t="n">
        <v>64</v>
      </c>
      <c r="C330" t="n">
        <v>23521</v>
      </c>
      <c r="D330" t="n">
        <v>20</v>
      </c>
      <c r="E330" t="n">
        <v>44</v>
      </c>
      <c r="F330" t="n">
        <v>38</v>
      </c>
      <c r="G330" t="n">
        <v>26</v>
      </c>
      <c r="H330" t="n">
        <v>20</v>
      </c>
      <c r="I330" t="n">
        <v>38</v>
      </c>
      <c r="J330" t="n">
        <v>26</v>
      </c>
      <c r="K330" t="n">
        <v>0</v>
      </c>
      <c r="L330" t="n">
        <v>0</v>
      </c>
      <c r="M330" t="n">
        <v>48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500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</row>
    <row r="331">
      <c r="A331" t="inlineStr">
        <is>
          <t>hajduk_ring</t>
        </is>
      </c>
      <c r="B331" t="n">
        <v>24576</v>
      </c>
      <c r="C331" t="n">
        <v>11058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-16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inlineStr">
        <is>
          <t>hajduk_ring_+1</t>
        </is>
      </c>
      <c r="B332" t="n">
        <v>24576</v>
      </c>
      <c r="C332" t="n">
        <v>11059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-15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inlineStr">
        <is>
          <t>halakaala</t>
        </is>
      </c>
      <c r="B333" t="n">
        <v>4</v>
      </c>
      <c r="C333" t="n">
        <v>21340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5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</row>
    <row r="334">
      <c r="A334" t="inlineStr">
        <is>
          <t>hamrammr_torque</t>
        </is>
      </c>
      <c r="B334" t="n">
        <v>512</v>
      </c>
      <c r="C334" t="n">
        <v>28395</v>
      </c>
      <c r="D334" t="n">
        <v>5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inlineStr">
        <is>
          <t>happo_shuriken</t>
        </is>
      </c>
      <c r="B335" t="n">
        <v>8</v>
      </c>
      <c r="C335" t="n">
        <v>21353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5</v>
      </c>
      <c r="L335" t="n">
        <v>0</v>
      </c>
      <c r="M335" t="n">
        <v>5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inlineStr">
        <is>
          <t>happo_shuriken_+1</t>
        </is>
      </c>
      <c r="B336" t="n">
        <v>8</v>
      </c>
      <c r="C336" t="n">
        <v>21354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6</v>
      </c>
      <c r="L336" t="n">
        <v>0</v>
      </c>
      <c r="M336" t="n">
        <v>6</v>
      </c>
      <c r="N336" t="n">
        <v>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inlineStr">
        <is>
          <t>hattori_hakama</t>
        </is>
      </c>
      <c r="B337" t="n">
        <v>128</v>
      </c>
      <c r="C337" t="n">
        <v>27261</v>
      </c>
      <c r="D337" t="n">
        <v>18</v>
      </c>
      <c r="E337" t="n">
        <v>0</v>
      </c>
      <c r="F337" t="n">
        <v>10</v>
      </c>
      <c r="G337" t="n">
        <v>12</v>
      </c>
      <c r="H337" t="n">
        <v>19</v>
      </c>
      <c r="I337" t="n">
        <v>11</v>
      </c>
      <c r="J337" t="n">
        <v>7</v>
      </c>
      <c r="K337" t="n">
        <v>0</v>
      </c>
      <c r="L337" t="n">
        <v>0</v>
      </c>
      <c r="M337" t="n">
        <v>10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700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</row>
    <row r="338">
      <c r="A338" t="inlineStr">
        <is>
          <t>hattori_hakama_+1</t>
        </is>
      </c>
      <c r="B338" t="n">
        <v>128</v>
      </c>
      <c r="C338" t="n">
        <v>27262</v>
      </c>
      <c r="D338" t="n">
        <v>29</v>
      </c>
      <c r="E338" t="n">
        <v>0</v>
      </c>
      <c r="F338" t="n">
        <v>16</v>
      </c>
      <c r="G338" t="n">
        <v>20</v>
      </c>
      <c r="H338" t="n">
        <v>30</v>
      </c>
      <c r="I338" t="n">
        <v>30</v>
      </c>
      <c r="J338" t="n">
        <v>30</v>
      </c>
      <c r="K338" t="n">
        <v>0</v>
      </c>
      <c r="L338" t="n">
        <v>0</v>
      </c>
      <c r="M338" t="n">
        <v>20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800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</row>
    <row r="339">
      <c r="A339" t="inlineStr">
        <is>
          <t>hattori_hakama_+2</t>
        </is>
      </c>
      <c r="B339" t="n">
        <v>128</v>
      </c>
      <c r="C339" t="n">
        <v>23298</v>
      </c>
      <c r="D339" t="n">
        <v>39</v>
      </c>
      <c r="E339" t="n">
        <v>0</v>
      </c>
      <c r="F339" t="n">
        <v>22</v>
      </c>
      <c r="G339" t="n">
        <v>30</v>
      </c>
      <c r="H339" t="n">
        <v>40</v>
      </c>
      <c r="I339" t="n">
        <v>22</v>
      </c>
      <c r="J339" t="n">
        <v>16</v>
      </c>
      <c r="K339" t="n">
        <v>53</v>
      </c>
      <c r="L339" t="n">
        <v>0</v>
      </c>
      <c r="M339" t="n">
        <v>53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800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</row>
    <row r="340">
      <c r="A340" t="inlineStr">
        <is>
          <t>hattori_hakama_+3</t>
        </is>
      </c>
      <c r="B340" t="n">
        <v>128</v>
      </c>
      <c r="C340" t="n">
        <v>23633</v>
      </c>
      <c r="D340" t="n">
        <v>44</v>
      </c>
      <c r="E340" t="n">
        <v>0</v>
      </c>
      <c r="F340" t="n">
        <v>27</v>
      </c>
      <c r="G340" t="n">
        <v>35</v>
      </c>
      <c r="H340" t="n">
        <v>45</v>
      </c>
      <c r="I340" t="n">
        <v>27</v>
      </c>
      <c r="J340" t="n">
        <v>21</v>
      </c>
      <c r="K340" t="n">
        <v>63</v>
      </c>
      <c r="L340" t="n">
        <v>0</v>
      </c>
      <c r="M340" t="n">
        <v>63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800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inlineStr">
        <is>
          <t>hattori_kyahan</t>
        </is>
      </c>
      <c r="B341" t="n">
        <v>256</v>
      </c>
      <c r="C341" t="n">
        <v>27435</v>
      </c>
      <c r="D341" t="n">
        <v>10</v>
      </c>
      <c r="E341" t="n">
        <v>17</v>
      </c>
      <c r="F341" t="n">
        <v>8</v>
      </c>
      <c r="G341" t="n">
        <v>25</v>
      </c>
      <c r="H341" t="n">
        <v>0</v>
      </c>
      <c r="I341" t="n">
        <v>8</v>
      </c>
      <c r="J341" t="n">
        <v>19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400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</row>
    <row r="342">
      <c r="A342" t="inlineStr">
        <is>
          <t>hattori_kyahan_+1</t>
        </is>
      </c>
      <c r="B342" t="n">
        <v>256</v>
      </c>
      <c r="C342" t="n">
        <v>27436</v>
      </c>
      <c r="D342" t="n">
        <v>14</v>
      </c>
      <c r="E342" t="n">
        <v>26</v>
      </c>
      <c r="F342" t="n">
        <v>12</v>
      </c>
      <c r="G342" t="n">
        <v>39</v>
      </c>
      <c r="H342" t="n">
        <v>0</v>
      </c>
      <c r="I342" t="n">
        <v>12</v>
      </c>
      <c r="J342" t="n">
        <v>30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500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</row>
    <row r="343">
      <c r="A343" t="inlineStr">
        <is>
          <t>hattori_kyahan_+2</t>
        </is>
      </c>
      <c r="B343" t="n">
        <v>256</v>
      </c>
      <c r="C343" t="n">
        <v>23365</v>
      </c>
      <c r="D343" t="n">
        <v>22</v>
      </c>
      <c r="E343" t="n">
        <v>34</v>
      </c>
      <c r="F343" t="n">
        <v>18</v>
      </c>
      <c r="G343" t="n">
        <v>49</v>
      </c>
      <c r="H343" t="n">
        <v>0</v>
      </c>
      <c r="I343" t="n">
        <v>17</v>
      </c>
      <c r="J343" t="n">
        <v>35</v>
      </c>
      <c r="K343" t="n">
        <v>50</v>
      </c>
      <c r="L343" t="n">
        <v>0</v>
      </c>
      <c r="M343" t="n">
        <v>50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500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8</v>
      </c>
      <c r="AA343" t="n">
        <v>0</v>
      </c>
      <c r="AB343" t="n">
        <v>0</v>
      </c>
      <c r="AC343" t="n">
        <v>0</v>
      </c>
    </row>
    <row r="344">
      <c r="A344" t="inlineStr">
        <is>
          <t>hattori_kyahan_+3</t>
        </is>
      </c>
      <c r="B344" t="n">
        <v>256</v>
      </c>
      <c r="C344" t="n">
        <v>23700</v>
      </c>
      <c r="D344" t="n">
        <v>27</v>
      </c>
      <c r="E344" t="n">
        <v>39</v>
      </c>
      <c r="F344" t="n">
        <v>23</v>
      </c>
      <c r="G344" t="n">
        <v>54</v>
      </c>
      <c r="H344" t="n">
        <v>0</v>
      </c>
      <c r="I344" t="n">
        <v>22</v>
      </c>
      <c r="J344" t="n">
        <v>40</v>
      </c>
      <c r="K344" t="n">
        <v>60</v>
      </c>
      <c r="L344" t="n">
        <v>0</v>
      </c>
      <c r="M344" t="n">
        <v>60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500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inlineStr">
        <is>
          <t>hattori_ningi</t>
        </is>
      </c>
      <c r="B345" t="n">
        <v>32</v>
      </c>
      <c r="C345" t="n">
        <v>26922</v>
      </c>
      <c r="D345" t="n">
        <v>21</v>
      </c>
      <c r="E345" t="n">
        <v>25</v>
      </c>
      <c r="F345" t="n">
        <v>15</v>
      </c>
      <c r="G345" t="n">
        <v>17</v>
      </c>
      <c r="H345" t="n">
        <v>13</v>
      </c>
      <c r="I345" t="n">
        <v>13</v>
      </c>
      <c r="J345" t="n">
        <v>13</v>
      </c>
      <c r="K345" t="n">
        <v>17</v>
      </c>
      <c r="L345" t="n">
        <v>0</v>
      </c>
      <c r="M345" t="n">
        <v>17</v>
      </c>
      <c r="N345" t="n">
        <v>5</v>
      </c>
      <c r="O345" t="n">
        <v>0</v>
      </c>
      <c r="P345" t="n">
        <v>0</v>
      </c>
      <c r="Q345" t="n">
        <v>0</v>
      </c>
      <c r="R345" t="n">
        <v>0</v>
      </c>
      <c r="S345" t="n">
        <v>400</v>
      </c>
      <c r="T345" t="n">
        <v>0</v>
      </c>
      <c r="U345" t="n">
        <v>0</v>
      </c>
      <c r="V345" t="n">
        <v>6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inlineStr">
        <is>
          <t>hattori_ningi_+1</t>
        </is>
      </c>
      <c r="B346" t="n">
        <v>32</v>
      </c>
      <c r="C346" t="n">
        <v>26923</v>
      </c>
      <c r="D346" t="n">
        <v>30</v>
      </c>
      <c r="E346" t="n">
        <v>37</v>
      </c>
      <c r="F346" t="n">
        <v>24</v>
      </c>
      <c r="G346" t="n">
        <v>28</v>
      </c>
      <c r="H346" t="n">
        <v>21</v>
      </c>
      <c r="I346" t="n">
        <v>21</v>
      </c>
      <c r="J346" t="n">
        <v>21</v>
      </c>
      <c r="K346" t="n">
        <v>24</v>
      </c>
      <c r="L346" t="n">
        <v>0</v>
      </c>
      <c r="M346" t="n">
        <v>24</v>
      </c>
      <c r="N346" t="n">
        <v>6</v>
      </c>
      <c r="O346" t="n">
        <v>0</v>
      </c>
      <c r="P346" t="n">
        <v>0</v>
      </c>
      <c r="Q346" t="n">
        <v>0</v>
      </c>
      <c r="R346" t="n">
        <v>0</v>
      </c>
      <c r="S346" t="n">
        <v>400</v>
      </c>
      <c r="T346" t="n">
        <v>0</v>
      </c>
      <c r="U346" t="n">
        <v>0</v>
      </c>
      <c r="V346" t="n">
        <v>10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inlineStr">
        <is>
          <t>hattori_ningi_+2</t>
        </is>
      </c>
      <c r="B347" t="n">
        <v>32</v>
      </c>
      <c r="C347" t="n">
        <v>23164</v>
      </c>
      <c r="D347" t="n">
        <v>35</v>
      </c>
      <c r="E347" t="n">
        <v>42</v>
      </c>
      <c r="F347" t="n">
        <v>30</v>
      </c>
      <c r="G347" t="n">
        <v>38</v>
      </c>
      <c r="H347" t="n">
        <v>31</v>
      </c>
      <c r="I347" t="n">
        <v>26</v>
      </c>
      <c r="J347" t="n">
        <v>26</v>
      </c>
      <c r="K347" t="n">
        <v>64</v>
      </c>
      <c r="L347" t="n">
        <v>0</v>
      </c>
      <c r="M347" t="n">
        <v>54</v>
      </c>
      <c r="N347" t="n">
        <v>7</v>
      </c>
      <c r="O347" t="n">
        <v>0</v>
      </c>
      <c r="P347" t="n">
        <v>0</v>
      </c>
      <c r="Q347" t="n">
        <v>0</v>
      </c>
      <c r="R347" t="n">
        <v>0</v>
      </c>
      <c r="S347" t="n">
        <v>400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inlineStr">
        <is>
          <t>hattori_ningi_+3</t>
        </is>
      </c>
      <c r="B348" t="n">
        <v>32</v>
      </c>
      <c r="C348" t="n">
        <v>23499</v>
      </c>
      <c r="D348" t="n">
        <v>40</v>
      </c>
      <c r="E348" t="n">
        <v>47</v>
      </c>
      <c r="F348" t="n">
        <v>35</v>
      </c>
      <c r="G348" t="n">
        <v>43</v>
      </c>
      <c r="H348" t="n">
        <v>36</v>
      </c>
      <c r="I348" t="n">
        <v>31</v>
      </c>
      <c r="J348" t="n">
        <v>31</v>
      </c>
      <c r="K348" t="n">
        <v>74</v>
      </c>
      <c r="L348" t="n">
        <v>0</v>
      </c>
      <c r="M348" t="n">
        <v>64</v>
      </c>
      <c r="N348" t="n">
        <v>8</v>
      </c>
      <c r="O348" t="n">
        <v>0</v>
      </c>
      <c r="P348" t="n">
        <v>0</v>
      </c>
      <c r="Q348" t="n">
        <v>0</v>
      </c>
      <c r="R348" t="n">
        <v>0</v>
      </c>
      <c r="S348" t="n">
        <v>400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inlineStr">
        <is>
          <t>hattori_tekko</t>
        </is>
      </c>
      <c r="B349" t="n">
        <v>64</v>
      </c>
      <c r="C349" t="n">
        <v>27076</v>
      </c>
      <c r="D349" t="n">
        <v>8</v>
      </c>
      <c r="E349" t="n">
        <v>31</v>
      </c>
      <c r="F349" t="n">
        <v>18</v>
      </c>
      <c r="G349" t="n">
        <v>11</v>
      </c>
      <c r="H349" t="n">
        <v>8</v>
      </c>
      <c r="I349" t="n">
        <v>19</v>
      </c>
      <c r="J349" t="n">
        <v>11</v>
      </c>
      <c r="K349" t="n">
        <v>0</v>
      </c>
      <c r="L349" t="n">
        <v>0</v>
      </c>
      <c r="M349" t="n">
        <v>13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400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inlineStr">
        <is>
          <t>hattori_tekko_+1</t>
        </is>
      </c>
      <c r="B350" t="n">
        <v>64</v>
      </c>
      <c r="C350" t="n">
        <v>27077</v>
      </c>
      <c r="D350" t="n">
        <v>12</v>
      </c>
      <c r="E350" t="n">
        <v>45</v>
      </c>
      <c r="F350" t="n">
        <v>29</v>
      </c>
      <c r="G350" t="n">
        <v>14</v>
      </c>
      <c r="H350" t="n">
        <v>12</v>
      </c>
      <c r="I350" t="n">
        <v>30</v>
      </c>
      <c r="J350" t="n">
        <v>17</v>
      </c>
      <c r="K350" t="n">
        <v>0</v>
      </c>
      <c r="L350" t="n">
        <v>0</v>
      </c>
      <c r="M350" t="n">
        <v>23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500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inlineStr">
        <is>
          <t>hattori_tekko_+2</t>
        </is>
      </c>
      <c r="B351" t="n">
        <v>64</v>
      </c>
      <c r="C351" t="n">
        <v>23231</v>
      </c>
      <c r="D351" t="n">
        <v>22</v>
      </c>
      <c r="E351" t="n">
        <v>50</v>
      </c>
      <c r="F351" t="n">
        <v>35</v>
      </c>
      <c r="G351" t="n">
        <v>19</v>
      </c>
      <c r="H351" t="n">
        <v>22</v>
      </c>
      <c r="I351" t="n">
        <v>35</v>
      </c>
      <c r="J351" t="n">
        <v>22</v>
      </c>
      <c r="K351" t="n">
        <v>52</v>
      </c>
      <c r="L351" t="n">
        <v>0</v>
      </c>
      <c r="M351" t="n">
        <v>52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500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inlineStr">
        <is>
          <t>hattori_tekko_+3</t>
        </is>
      </c>
      <c r="B352" t="n">
        <v>64</v>
      </c>
      <c r="C352" t="n">
        <v>23566</v>
      </c>
      <c r="D352" t="n">
        <v>27</v>
      </c>
      <c r="E352" t="n">
        <v>55</v>
      </c>
      <c r="F352" t="n">
        <v>40</v>
      </c>
      <c r="G352" t="n">
        <v>24</v>
      </c>
      <c r="H352" t="n">
        <v>27</v>
      </c>
      <c r="I352" t="n">
        <v>40</v>
      </c>
      <c r="J352" t="n">
        <v>27</v>
      </c>
      <c r="K352" t="n">
        <v>62</v>
      </c>
      <c r="L352" t="n">
        <v>0</v>
      </c>
      <c r="M352" t="n">
        <v>62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500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inlineStr">
        <is>
          <t>hattori_zukin</t>
        </is>
      </c>
      <c r="B353" t="n">
        <v>16</v>
      </c>
      <c r="C353" t="n">
        <v>26764</v>
      </c>
      <c r="D353" t="n">
        <v>13</v>
      </c>
      <c r="E353" t="n">
        <v>23</v>
      </c>
      <c r="F353" t="n">
        <v>12</v>
      </c>
      <c r="G353" t="n">
        <v>15</v>
      </c>
      <c r="H353" t="n">
        <v>11</v>
      </c>
      <c r="I353" t="n">
        <v>11</v>
      </c>
      <c r="J353" t="n">
        <v>11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7</v>
      </c>
      <c r="Q353" t="n">
        <v>0</v>
      </c>
      <c r="R353" t="n">
        <v>0</v>
      </c>
      <c r="S353" t="n">
        <v>800</v>
      </c>
      <c r="T353" t="n">
        <v>0</v>
      </c>
      <c r="U353" t="n">
        <v>0</v>
      </c>
      <c r="V353" t="n">
        <v>6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inlineStr">
        <is>
          <t>hattori_zukin_+1</t>
        </is>
      </c>
      <c r="B354" t="n">
        <v>16</v>
      </c>
      <c r="C354" t="n">
        <v>26765</v>
      </c>
      <c r="D354" t="n">
        <v>19</v>
      </c>
      <c r="E354" t="n">
        <v>31</v>
      </c>
      <c r="F354" t="n">
        <v>18</v>
      </c>
      <c r="G354" t="n">
        <v>22</v>
      </c>
      <c r="H354" t="n">
        <v>17</v>
      </c>
      <c r="I354" t="n">
        <v>17</v>
      </c>
      <c r="J354" t="n">
        <v>17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9</v>
      </c>
      <c r="Q354" t="n">
        <v>0</v>
      </c>
      <c r="R354" t="n">
        <v>0</v>
      </c>
      <c r="S354" t="n">
        <v>1000</v>
      </c>
      <c r="T354" t="n">
        <v>0</v>
      </c>
      <c r="U354" t="n">
        <v>0</v>
      </c>
      <c r="V354" t="n">
        <v>7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inlineStr">
        <is>
          <t>hattori_zukin_+2</t>
        </is>
      </c>
      <c r="B355" t="n">
        <v>16</v>
      </c>
      <c r="C355" t="n">
        <v>23097</v>
      </c>
      <c r="D355" t="n">
        <v>26</v>
      </c>
      <c r="E355" t="n">
        <v>36</v>
      </c>
      <c r="F355" t="n">
        <v>23</v>
      </c>
      <c r="G355" t="n">
        <v>29</v>
      </c>
      <c r="H355" t="n">
        <v>22</v>
      </c>
      <c r="I355" t="n">
        <v>22</v>
      </c>
      <c r="J355" t="n">
        <v>22</v>
      </c>
      <c r="K355" t="n">
        <v>51</v>
      </c>
      <c r="L355" t="n">
        <v>0</v>
      </c>
      <c r="M355" t="n">
        <v>51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1000</v>
      </c>
      <c r="T355" t="n">
        <v>0</v>
      </c>
      <c r="U355" t="n">
        <v>0</v>
      </c>
      <c r="V355" t="n">
        <v>7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inlineStr">
        <is>
          <t>hattori_zukin_+3</t>
        </is>
      </c>
      <c r="B356" t="n">
        <v>16</v>
      </c>
      <c r="C356" t="n">
        <v>23432</v>
      </c>
      <c r="D356" t="n">
        <v>31</v>
      </c>
      <c r="E356" t="n">
        <v>41</v>
      </c>
      <c r="F356" t="n">
        <v>28</v>
      </c>
      <c r="G356" t="n">
        <v>34</v>
      </c>
      <c r="H356" t="n">
        <v>27</v>
      </c>
      <c r="I356" t="n">
        <v>27</v>
      </c>
      <c r="J356" t="n">
        <v>27</v>
      </c>
      <c r="K356" t="n">
        <v>61</v>
      </c>
      <c r="L356" t="n">
        <v>0</v>
      </c>
      <c r="M356" t="n">
        <v>61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1000</v>
      </c>
      <c r="T356" t="n">
        <v>0</v>
      </c>
      <c r="U356" t="n">
        <v>0</v>
      </c>
      <c r="V356" t="n">
        <v>7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inlineStr">
        <is>
          <t>haverton_ring</t>
        </is>
      </c>
      <c r="B357" t="n">
        <v>24576</v>
      </c>
      <c r="C357" t="n">
        <v>27586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5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</row>
    <row r="358">
      <c r="A358" t="inlineStr">
        <is>
          <t>haverton_ring_+1</t>
        </is>
      </c>
      <c r="B358" t="n">
        <v>24576</v>
      </c>
      <c r="C358" t="n">
        <v>26198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6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</row>
    <row r="359">
      <c r="A359" t="inlineStr">
        <is>
          <t>heartseeker_earring</t>
        </is>
      </c>
      <c r="B359" t="n">
        <v>6144</v>
      </c>
      <c r="C359" t="n">
        <v>28523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8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inlineStr">
        <is>
          <t>hegira_wristbands</t>
        </is>
      </c>
      <c r="B360" t="n">
        <v>64</v>
      </c>
      <c r="C360" t="n">
        <v>28013</v>
      </c>
      <c r="D360" t="n">
        <v>11</v>
      </c>
      <c r="E360" t="n">
        <v>35</v>
      </c>
      <c r="F360" t="n">
        <v>37</v>
      </c>
      <c r="G360" t="n">
        <v>5</v>
      </c>
      <c r="H360" t="n">
        <v>12</v>
      </c>
      <c r="I360" t="n">
        <v>30</v>
      </c>
      <c r="J360" t="n">
        <v>17</v>
      </c>
      <c r="K360" t="n">
        <v>0</v>
      </c>
      <c r="L360" t="n">
        <v>0</v>
      </c>
      <c r="M360" t="n">
        <v>12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500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inlineStr">
        <is>
          <t>heidrek_harness</t>
        </is>
      </c>
      <c r="B361" t="n">
        <v>32</v>
      </c>
      <c r="C361" t="n">
        <v>23742</v>
      </c>
      <c r="D361" t="n">
        <v>26</v>
      </c>
      <c r="E361" t="n">
        <v>33</v>
      </c>
      <c r="F361" t="n">
        <v>26</v>
      </c>
      <c r="G361" t="n">
        <v>30</v>
      </c>
      <c r="H361" t="n">
        <v>25</v>
      </c>
      <c r="I361" t="n">
        <v>25</v>
      </c>
      <c r="J361" t="n">
        <v>25</v>
      </c>
      <c r="K361" t="n">
        <v>0</v>
      </c>
      <c r="L361" t="n">
        <v>0</v>
      </c>
      <c r="M361" t="n">
        <v>20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400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inlineStr">
        <is>
          <t>herculean_boots</t>
        </is>
      </c>
      <c r="B362" t="n">
        <v>256</v>
      </c>
      <c r="C362" t="n">
        <v>27496</v>
      </c>
      <c r="D362" t="n">
        <v>16</v>
      </c>
      <c r="E362" t="n">
        <v>24</v>
      </c>
      <c r="F362" t="n">
        <v>10</v>
      </c>
      <c r="G362" t="n">
        <v>43</v>
      </c>
      <c r="H362" t="n">
        <v>0</v>
      </c>
      <c r="I362" t="n">
        <v>11</v>
      </c>
      <c r="J362" t="n">
        <v>26</v>
      </c>
      <c r="K362" t="n">
        <v>10</v>
      </c>
      <c r="L362" t="n">
        <v>0</v>
      </c>
      <c r="M362" t="n">
        <v>10</v>
      </c>
      <c r="N362" t="n">
        <v>0</v>
      </c>
      <c r="O362" t="n">
        <v>0</v>
      </c>
      <c r="P362" t="n">
        <v>0</v>
      </c>
      <c r="Q362" t="n">
        <v>2</v>
      </c>
      <c r="R362" t="n">
        <v>0</v>
      </c>
      <c r="S362" t="n">
        <v>400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inlineStr">
        <is>
          <t>herculean_gloves</t>
        </is>
      </c>
      <c r="B363" t="n">
        <v>64</v>
      </c>
      <c r="C363" t="n">
        <v>27140</v>
      </c>
      <c r="D363" t="n">
        <v>16</v>
      </c>
      <c r="E363" t="n">
        <v>39</v>
      </c>
      <c r="F363" t="n">
        <v>30</v>
      </c>
      <c r="G363" t="n">
        <v>8</v>
      </c>
      <c r="H363" t="n">
        <v>14</v>
      </c>
      <c r="I363" t="n">
        <v>26</v>
      </c>
      <c r="J363" t="n">
        <v>19</v>
      </c>
      <c r="K363" t="n">
        <v>0</v>
      </c>
      <c r="L363" t="n">
        <v>0</v>
      </c>
      <c r="M363" t="n">
        <v>12</v>
      </c>
      <c r="N363" t="n">
        <v>0</v>
      </c>
      <c r="O363" t="n">
        <v>0</v>
      </c>
      <c r="P363" t="n">
        <v>0</v>
      </c>
      <c r="Q363" t="n">
        <v>2</v>
      </c>
      <c r="R363" t="n">
        <v>0</v>
      </c>
      <c r="S363" t="n">
        <v>500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inlineStr">
        <is>
          <t>herculean_helm</t>
        </is>
      </c>
      <c r="B364" t="n">
        <v>16</v>
      </c>
      <c r="C364" t="n">
        <v>25642</v>
      </c>
      <c r="D364" t="n">
        <v>22</v>
      </c>
      <c r="E364" t="n">
        <v>28</v>
      </c>
      <c r="F364" t="n">
        <v>18</v>
      </c>
      <c r="G364" t="n">
        <v>25</v>
      </c>
      <c r="H364" t="n">
        <v>20</v>
      </c>
      <c r="I364" t="n">
        <v>16</v>
      </c>
      <c r="J364" t="n">
        <v>17</v>
      </c>
      <c r="K364" t="n">
        <v>15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800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inlineStr">
        <is>
          <t>herculean_trousers</t>
        </is>
      </c>
      <c r="B365" t="n">
        <v>128</v>
      </c>
      <c r="C365" t="n">
        <v>25842</v>
      </c>
      <c r="D365" t="n">
        <v>33</v>
      </c>
      <c r="E365" t="n">
        <v>0</v>
      </c>
      <c r="F365" t="n">
        <v>16</v>
      </c>
      <c r="G365" t="n">
        <v>32</v>
      </c>
      <c r="H365" t="n">
        <v>29</v>
      </c>
      <c r="I365" t="n">
        <v>15</v>
      </c>
      <c r="J365" t="n">
        <v>10</v>
      </c>
      <c r="K365" t="n">
        <v>15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600</v>
      </c>
      <c r="T365" t="n">
        <v>0</v>
      </c>
      <c r="U365" t="n">
        <v>0</v>
      </c>
      <c r="V365" t="n">
        <v>0</v>
      </c>
      <c r="W365" t="n">
        <v>4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inlineStr">
        <is>
          <t>herculean_vest</t>
        </is>
      </c>
      <c r="B366" t="n">
        <v>32</v>
      </c>
      <c r="C366" t="n">
        <v>25718</v>
      </c>
      <c r="D366" t="n">
        <v>28</v>
      </c>
      <c r="E366" t="n">
        <v>34</v>
      </c>
      <c r="F366" t="n">
        <v>24</v>
      </c>
      <c r="G366" t="n">
        <v>30</v>
      </c>
      <c r="H366" t="n">
        <v>21</v>
      </c>
      <c r="I366" t="n">
        <v>20</v>
      </c>
      <c r="J366" t="n">
        <v>21</v>
      </c>
      <c r="K366" t="n">
        <v>0</v>
      </c>
      <c r="L366" t="n">
        <v>0</v>
      </c>
      <c r="M366" t="n">
        <v>15</v>
      </c>
      <c r="N366" t="n">
        <v>3</v>
      </c>
      <c r="O366" t="n">
        <v>0</v>
      </c>
      <c r="P366" t="n">
        <v>0</v>
      </c>
      <c r="Q366" t="n">
        <v>0</v>
      </c>
      <c r="R366" t="n">
        <v>0</v>
      </c>
      <c r="S366" t="n">
        <v>400</v>
      </c>
      <c r="T366" t="n">
        <v>0</v>
      </c>
      <c r="U366" t="n">
        <v>0</v>
      </c>
      <c r="V366" t="n">
        <v>0</v>
      </c>
      <c r="W366" t="n">
        <v>3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inlineStr">
        <is>
          <t>hetairoi_ring</t>
        </is>
      </c>
      <c r="B367" t="n">
        <v>24576</v>
      </c>
      <c r="C367" t="n">
        <v>26175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</row>
    <row r="368">
      <c r="A368" t="inlineStr">
        <is>
          <t>hippo._socks_+1</t>
        </is>
      </c>
      <c r="B368" t="n">
        <v>256</v>
      </c>
      <c r="C368" t="n">
        <v>27410</v>
      </c>
      <c r="D368" t="n">
        <v>10</v>
      </c>
      <c r="E368" t="n">
        <v>11</v>
      </c>
      <c r="F368" t="n">
        <v>10</v>
      </c>
      <c r="G368" t="n">
        <v>33</v>
      </c>
      <c r="H368" t="n">
        <v>17</v>
      </c>
      <c r="I368" t="n">
        <v>19</v>
      </c>
      <c r="J368" t="n">
        <v>34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500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inlineStr">
        <is>
          <t>hiza._somen_+2</t>
        </is>
      </c>
      <c r="B369" t="n">
        <v>16</v>
      </c>
      <c r="C369" t="n">
        <v>25576</v>
      </c>
      <c r="D369" t="n">
        <v>33</v>
      </c>
      <c r="E369" t="n">
        <v>29</v>
      </c>
      <c r="F369" t="n">
        <v>27</v>
      </c>
      <c r="G369" t="n">
        <v>24</v>
      </c>
      <c r="H369" t="n">
        <v>12</v>
      </c>
      <c r="I369" t="n">
        <v>10</v>
      </c>
      <c r="J369" t="n">
        <v>20</v>
      </c>
      <c r="K369" t="n">
        <v>26</v>
      </c>
      <c r="L369" t="n">
        <v>0</v>
      </c>
      <c r="M369" t="n">
        <v>44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600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inlineStr">
        <is>
          <t>hiza._sune-ate_+2</t>
        </is>
      </c>
      <c r="B370" t="n">
        <v>256</v>
      </c>
      <c r="C370" t="n">
        <v>25948</v>
      </c>
      <c r="D370" t="n">
        <v>28</v>
      </c>
      <c r="E370" t="n">
        <v>31</v>
      </c>
      <c r="F370" t="n">
        <v>23</v>
      </c>
      <c r="G370" t="n">
        <v>34</v>
      </c>
      <c r="H370" t="n">
        <v>0</v>
      </c>
      <c r="I370" t="n">
        <v>3</v>
      </c>
      <c r="J370" t="n">
        <v>28</v>
      </c>
      <c r="K370" t="n">
        <v>24</v>
      </c>
      <c r="L370" t="n">
        <v>0</v>
      </c>
      <c r="M370" t="n">
        <v>42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300</v>
      </c>
      <c r="T370" t="n">
        <v>0</v>
      </c>
      <c r="U370" t="n">
        <v>0</v>
      </c>
      <c r="V370" t="n">
        <v>8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inlineStr">
        <is>
          <t>hizamaru_kote_+2</t>
        </is>
      </c>
      <c r="B371" t="n">
        <v>64</v>
      </c>
      <c r="C371" t="n">
        <v>25830</v>
      </c>
      <c r="D371" t="n">
        <v>20</v>
      </c>
      <c r="E371" t="n">
        <v>43</v>
      </c>
      <c r="F371" t="n">
        <v>38</v>
      </c>
      <c r="G371" t="n">
        <v>16</v>
      </c>
      <c r="H371" t="n">
        <v>7</v>
      </c>
      <c r="I371" t="n">
        <v>21</v>
      </c>
      <c r="J371" t="n">
        <v>25</v>
      </c>
      <c r="K371" t="n">
        <v>25</v>
      </c>
      <c r="L371" t="n">
        <v>0</v>
      </c>
      <c r="M371" t="n">
        <v>43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400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inlineStr">
        <is>
          <t>hrafn_coronet</t>
        </is>
      </c>
      <c r="B372" t="n">
        <v>16</v>
      </c>
      <c r="C372" t="n">
        <v>10400</v>
      </c>
      <c r="D372" t="n">
        <v>6</v>
      </c>
      <c r="E372" t="n">
        <v>6</v>
      </c>
      <c r="F372" t="n">
        <v>6</v>
      </c>
      <c r="G372" t="n">
        <v>0</v>
      </c>
      <c r="H372" t="n">
        <v>0</v>
      </c>
      <c r="I372" t="n">
        <v>0</v>
      </c>
      <c r="J372" t="n">
        <v>0</v>
      </c>
      <c r="K372" t="n">
        <v>12</v>
      </c>
      <c r="L372" t="n">
        <v>0</v>
      </c>
      <c r="M372" t="n">
        <v>12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</row>
    <row r="373">
      <c r="A373" t="inlineStr">
        <is>
          <t>hrafn_gambieras</t>
        </is>
      </c>
      <c r="B373" t="n">
        <v>256</v>
      </c>
      <c r="C373" t="n">
        <v>10631</v>
      </c>
      <c r="D373" t="n">
        <v>6</v>
      </c>
      <c r="E373" t="n">
        <v>0</v>
      </c>
      <c r="F373" t="n">
        <v>6</v>
      </c>
      <c r="G373" t="n">
        <v>0</v>
      </c>
      <c r="H373" t="n">
        <v>0</v>
      </c>
      <c r="I373" t="n">
        <v>0</v>
      </c>
      <c r="J373" t="n">
        <v>0</v>
      </c>
      <c r="K373" t="n">
        <v>11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400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inlineStr">
        <is>
          <t>hrafn_gauntlets</t>
        </is>
      </c>
      <c r="B374" t="n">
        <v>64</v>
      </c>
      <c r="C374" t="n">
        <v>10534</v>
      </c>
      <c r="D374" t="n">
        <v>9</v>
      </c>
      <c r="E374" t="n">
        <v>0</v>
      </c>
      <c r="F374" t="n">
        <v>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inlineStr">
        <is>
          <t>hrafn_haubert</t>
        </is>
      </c>
      <c r="B375" t="n">
        <v>32</v>
      </c>
      <c r="C375" t="n">
        <v>11873</v>
      </c>
      <c r="D375" t="n">
        <v>10</v>
      </c>
      <c r="E375" t="n">
        <v>0</v>
      </c>
      <c r="F375" t="n">
        <v>10</v>
      </c>
      <c r="G375" t="n">
        <v>0</v>
      </c>
      <c r="H375" t="n">
        <v>0</v>
      </c>
      <c r="I375" t="n">
        <v>0</v>
      </c>
      <c r="J375" t="n">
        <v>0</v>
      </c>
      <c r="K375" t="n">
        <v>20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inlineStr">
        <is>
          <t>hrafn_hose</t>
        </is>
      </c>
      <c r="B376" t="n">
        <v>128</v>
      </c>
      <c r="C376" t="n">
        <v>10565</v>
      </c>
      <c r="D376" t="n">
        <v>7</v>
      </c>
      <c r="E376" t="n">
        <v>0</v>
      </c>
      <c r="F376" t="n">
        <v>7</v>
      </c>
      <c r="G376" t="n">
        <v>0</v>
      </c>
      <c r="H376" t="n">
        <v>7</v>
      </c>
      <c r="I376" t="n">
        <v>7</v>
      </c>
      <c r="J376" t="n">
        <v>0</v>
      </c>
      <c r="K376" t="n">
        <v>13</v>
      </c>
      <c r="L376" t="n">
        <v>0</v>
      </c>
      <c r="M376" t="n">
        <v>9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inlineStr">
        <is>
          <t>huginn_coronet</t>
        </is>
      </c>
      <c r="B377" t="n">
        <v>16</v>
      </c>
      <c r="C377" t="n">
        <v>10405</v>
      </c>
      <c r="D377" t="n">
        <v>9</v>
      </c>
      <c r="E377" t="n">
        <v>9</v>
      </c>
      <c r="F377" t="n">
        <v>9</v>
      </c>
      <c r="G377" t="n">
        <v>0</v>
      </c>
      <c r="H377" t="n">
        <v>0</v>
      </c>
      <c r="I377" t="n">
        <v>0</v>
      </c>
      <c r="J377" t="n">
        <v>0</v>
      </c>
      <c r="K377" t="n">
        <v>15</v>
      </c>
      <c r="L377" t="n">
        <v>0</v>
      </c>
      <c r="M377" t="n">
        <v>15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inlineStr">
        <is>
          <t>huginn_gambieras</t>
        </is>
      </c>
      <c r="B378" t="n">
        <v>256</v>
      </c>
      <c r="C378" t="n">
        <v>10636</v>
      </c>
      <c r="D378" t="n">
        <v>9</v>
      </c>
      <c r="E378" t="n">
        <v>0</v>
      </c>
      <c r="F378" t="n">
        <v>9</v>
      </c>
      <c r="G378" t="n">
        <v>0</v>
      </c>
      <c r="H378" t="n">
        <v>0</v>
      </c>
      <c r="I378" t="n">
        <v>0</v>
      </c>
      <c r="J378" t="n">
        <v>0</v>
      </c>
      <c r="K378" t="n">
        <v>14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500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inlineStr">
        <is>
          <t>huginn_gauntlets</t>
        </is>
      </c>
      <c r="B379" t="n">
        <v>64</v>
      </c>
      <c r="C379" t="n">
        <v>10539</v>
      </c>
      <c r="D379" t="n">
        <v>12</v>
      </c>
      <c r="E379" t="n">
        <v>0</v>
      </c>
      <c r="F379" t="n">
        <v>12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13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inlineStr">
        <is>
          <t>huginn_haubert</t>
        </is>
      </c>
      <c r="B380" t="n">
        <v>32</v>
      </c>
      <c r="C380" t="n">
        <v>10489</v>
      </c>
      <c r="D380" t="n">
        <v>13</v>
      </c>
      <c r="E380" t="n">
        <v>0</v>
      </c>
      <c r="F380" t="n">
        <v>13</v>
      </c>
      <c r="G380" t="n">
        <v>0</v>
      </c>
      <c r="H380" t="n">
        <v>0</v>
      </c>
      <c r="I380" t="n">
        <v>0</v>
      </c>
      <c r="J380" t="n">
        <v>0</v>
      </c>
      <c r="K380" t="n">
        <v>23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</row>
    <row r="381">
      <c r="A381" t="inlineStr">
        <is>
          <t>huginn_hose</t>
        </is>
      </c>
      <c r="B381" t="n">
        <v>128</v>
      </c>
      <c r="C381" t="n">
        <v>10570</v>
      </c>
      <c r="D381" t="n">
        <v>10</v>
      </c>
      <c r="E381" t="n">
        <v>0</v>
      </c>
      <c r="F381" t="n">
        <v>10</v>
      </c>
      <c r="G381" t="n">
        <v>0</v>
      </c>
      <c r="H381" t="n">
        <v>10</v>
      </c>
      <c r="I381" t="n">
        <v>10</v>
      </c>
      <c r="J381" t="n">
        <v>0</v>
      </c>
      <c r="K381" t="n">
        <v>16</v>
      </c>
      <c r="L381" t="n">
        <v>0</v>
      </c>
      <c r="M381" t="n">
        <v>12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</row>
    <row r="382">
      <c r="A382" t="inlineStr">
        <is>
          <t>hurchlan_sash</t>
        </is>
      </c>
      <c r="B382" t="n">
        <v>1024</v>
      </c>
      <c r="C382" t="n">
        <v>28462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15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700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inlineStr">
        <is>
          <t>ifrit_ring</t>
        </is>
      </c>
      <c r="B383" t="n">
        <v>24576</v>
      </c>
      <c r="C383" t="n">
        <v>27564</v>
      </c>
      <c r="D383" t="n">
        <v>8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inlineStr">
        <is>
          <t>ifrit_ring_+1</t>
        </is>
      </c>
      <c r="B384" t="n">
        <v>24576</v>
      </c>
      <c r="C384" t="n">
        <v>27565</v>
      </c>
      <c r="D384" t="n">
        <v>9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</row>
    <row r="385">
      <c r="A385" t="inlineStr">
        <is>
          <t>ighwa_cap</t>
        </is>
      </c>
      <c r="B385" t="n">
        <v>16</v>
      </c>
      <c r="C385" t="n">
        <v>27722</v>
      </c>
      <c r="D385" t="n">
        <v>25</v>
      </c>
      <c r="E385" t="n">
        <v>22</v>
      </c>
      <c r="F385" t="n">
        <v>25</v>
      </c>
      <c r="G385" t="n">
        <v>22</v>
      </c>
      <c r="H385" t="n">
        <v>20</v>
      </c>
      <c r="I385" t="n">
        <v>20</v>
      </c>
      <c r="J385" t="n">
        <v>20</v>
      </c>
      <c r="K385" t="n">
        <v>18</v>
      </c>
      <c r="L385" t="n">
        <v>0</v>
      </c>
      <c r="M385" t="n">
        <v>18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700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</row>
    <row r="386">
      <c r="A386" t="inlineStr">
        <is>
          <t>ighwa_trousers</t>
        </is>
      </c>
      <c r="B386" t="n">
        <v>128</v>
      </c>
      <c r="C386" t="n">
        <v>28156</v>
      </c>
      <c r="D386" t="n">
        <v>34</v>
      </c>
      <c r="E386" t="n">
        <v>0</v>
      </c>
      <c r="F386" t="n">
        <v>16</v>
      </c>
      <c r="G386" t="n">
        <v>20</v>
      </c>
      <c r="H386" t="n">
        <v>30</v>
      </c>
      <c r="I386" t="n">
        <v>17</v>
      </c>
      <c r="J386" t="n">
        <v>11</v>
      </c>
      <c r="K386" t="n">
        <v>0</v>
      </c>
      <c r="L386" t="n">
        <v>0</v>
      </c>
      <c r="M386" t="n">
        <v>15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600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inlineStr">
        <is>
          <t>ilabrat_ring</t>
        </is>
      </c>
      <c r="B387" t="n">
        <v>24576</v>
      </c>
      <c r="C387" t="n">
        <v>26186</v>
      </c>
      <c r="D387" t="n">
        <v>0</v>
      </c>
      <c r="E387" t="n">
        <v>10</v>
      </c>
      <c r="F387" t="n">
        <v>0</v>
      </c>
      <c r="G387" t="n">
        <v>10</v>
      </c>
      <c r="H387" t="n">
        <v>0</v>
      </c>
      <c r="I387" t="n">
        <v>0</v>
      </c>
      <c r="J387" t="n">
        <v>0</v>
      </c>
      <c r="K387" t="n">
        <v>25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5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</row>
    <row r="388">
      <c r="A388" t="inlineStr">
        <is>
          <t>imp._wing_hair._+1</t>
        </is>
      </c>
      <c r="B388" t="n">
        <v>16</v>
      </c>
      <c r="C388" t="n">
        <v>26710</v>
      </c>
      <c r="D388" t="n">
        <v>0</v>
      </c>
      <c r="E388" t="n">
        <v>27</v>
      </c>
      <c r="F388" t="n">
        <v>0</v>
      </c>
      <c r="G388" t="n">
        <v>27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inlineStr">
        <is>
          <t>impassive_mantle</t>
        </is>
      </c>
      <c r="B389" t="n">
        <v>32768</v>
      </c>
      <c r="C389" t="n">
        <v>27622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3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inlineStr">
        <is>
          <t>iqabi_necklace</t>
        </is>
      </c>
      <c r="B390" t="n">
        <v>512</v>
      </c>
      <c r="C390" t="n">
        <v>28380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13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inlineStr">
        <is>
          <t>ishtars_collar</t>
        </is>
      </c>
      <c r="B391" t="n">
        <v>512</v>
      </c>
      <c r="C391" t="n">
        <v>10397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8</v>
      </c>
      <c r="L391" t="n">
        <v>0</v>
      </c>
      <c r="M391" t="n">
        <v>8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inlineStr">
        <is>
          <t>ishvara_earring</t>
        </is>
      </c>
      <c r="B392" t="n">
        <v>6144</v>
      </c>
      <c r="C392" t="n">
        <v>27537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inlineStr">
        <is>
          <t>iskur_gorget</t>
        </is>
      </c>
      <c r="B393" t="n">
        <v>512</v>
      </c>
      <c r="C393" t="n">
        <v>26027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8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inlineStr">
        <is>
          <t>istio_belt</t>
        </is>
      </c>
      <c r="B394" t="n">
        <v>1024</v>
      </c>
      <c r="C394" t="n">
        <v>10846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5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600</v>
      </c>
      <c r="T394" t="n">
        <v>0</v>
      </c>
      <c r="U394" t="n">
        <v>0</v>
      </c>
      <c r="V394" t="n">
        <v>0</v>
      </c>
      <c r="W394" t="n">
        <v>3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inlineStr">
        <is>
          <t>jokushu_haidate</t>
        </is>
      </c>
      <c r="B395" t="n">
        <v>128</v>
      </c>
      <c r="C395" t="n">
        <v>27318</v>
      </c>
      <c r="D395" t="n">
        <v>29</v>
      </c>
      <c r="E395" t="n">
        <v>35</v>
      </c>
      <c r="F395" t="n">
        <v>15</v>
      </c>
      <c r="G395" t="n">
        <v>21</v>
      </c>
      <c r="H395" t="n">
        <v>30</v>
      </c>
      <c r="I395" t="n">
        <v>17</v>
      </c>
      <c r="J395" t="n">
        <v>11</v>
      </c>
      <c r="K395" t="n">
        <v>0</v>
      </c>
      <c r="L395" t="n">
        <v>0</v>
      </c>
      <c r="M395" t="n">
        <v>0</v>
      </c>
      <c r="N395" t="n">
        <v>4</v>
      </c>
      <c r="O395" t="n">
        <v>0</v>
      </c>
      <c r="P395" t="n">
        <v>0</v>
      </c>
      <c r="Q395" t="n">
        <v>0</v>
      </c>
      <c r="R395" t="n">
        <v>0</v>
      </c>
      <c r="S395" t="n">
        <v>2000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inlineStr">
        <is>
          <t>jukukik_feather</t>
        </is>
      </c>
      <c r="B396" t="n">
        <v>8</v>
      </c>
      <c r="C396" t="n">
        <v>21386</v>
      </c>
      <c r="D396" t="n">
        <v>0</v>
      </c>
      <c r="E396" t="n">
        <v>4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4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</row>
    <row r="397">
      <c r="A397" t="inlineStr">
        <is>
          <t>kachi._kote_+1</t>
        </is>
      </c>
      <c r="B397" t="n">
        <v>64</v>
      </c>
      <c r="C397" t="n">
        <v>27051</v>
      </c>
      <c r="D397" t="n">
        <v>10</v>
      </c>
      <c r="E397" t="n">
        <v>34</v>
      </c>
      <c r="F397" t="n">
        <v>28</v>
      </c>
      <c r="G397" t="n">
        <v>6</v>
      </c>
      <c r="H397" t="n">
        <v>10</v>
      </c>
      <c r="I397" t="n">
        <v>28</v>
      </c>
      <c r="J397" t="n">
        <v>16</v>
      </c>
      <c r="K397" t="n">
        <v>21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500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</row>
    <row r="398">
      <c r="A398" t="inlineStr">
        <is>
          <t>kaja_bow</t>
        </is>
      </c>
      <c r="B398" t="n">
        <v>4</v>
      </c>
      <c r="C398" t="n">
        <v>22111</v>
      </c>
      <c r="D398" t="n">
        <v>10</v>
      </c>
      <c r="E398" t="n">
        <v>10</v>
      </c>
      <c r="F398" t="n">
        <v>0</v>
      </c>
      <c r="G398" t="n">
        <v>10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inlineStr">
        <is>
          <t>kar._sollerets_+1</t>
        </is>
      </c>
      <c r="B399" t="n">
        <v>256</v>
      </c>
      <c r="C399" t="n">
        <v>28320</v>
      </c>
      <c r="D399" t="n">
        <v>12</v>
      </c>
      <c r="E399" t="n">
        <v>15</v>
      </c>
      <c r="F399" t="n">
        <v>13</v>
      </c>
      <c r="G399" t="n">
        <v>18</v>
      </c>
      <c r="H399" t="n">
        <v>0</v>
      </c>
      <c r="I399" t="n">
        <v>6</v>
      </c>
      <c r="J399" t="n">
        <v>17</v>
      </c>
      <c r="K399" t="n">
        <v>11</v>
      </c>
      <c r="L399" t="n">
        <v>0</v>
      </c>
      <c r="M399" t="n">
        <v>11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300</v>
      </c>
      <c r="T399" t="n">
        <v>0</v>
      </c>
      <c r="U399" t="n">
        <v>0</v>
      </c>
      <c r="V399" t="n">
        <v>0</v>
      </c>
      <c r="W399" t="n">
        <v>5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inlineStr">
        <is>
          <t>kari._brayettes_+1</t>
        </is>
      </c>
      <c r="B400" t="n">
        <v>128</v>
      </c>
      <c r="C400" t="n">
        <v>28182</v>
      </c>
      <c r="D400" t="n">
        <v>20</v>
      </c>
      <c r="E400" t="n">
        <v>0</v>
      </c>
      <c r="F400" t="n">
        <v>20</v>
      </c>
      <c r="G400" t="n">
        <v>10</v>
      </c>
      <c r="H400" t="n">
        <v>16</v>
      </c>
      <c r="I400" t="n">
        <v>8</v>
      </c>
      <c r="J400" t="n">
        <v>6</v>
      </c>
      <c r="K400" t="n">
        <v>21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500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inlineStr">
        <is>
          <t>karieyh_brayettes</t>
        </is>
      </c>
      <c r="B401" t="n">
        <v>128</v>
      </c>
      <c r="C401" t="n">
        <v>28205</v>
      </c>
      <c r="D401" t="n">
        <v>16</v>
      </c>
      <c r="E401" t="n">
        <v>0</v>
      </c>
      <c r="F401" t="n">
        <v>16</v>
      </c>
      <c r="G401" t="n">
        <v>5</v>
      </c>
      <c r="H401" t="n">
        <v>8</v>
      </c>
      <c r="I401" t="n">
        <v>4</v>
      </c>
      <c r="J401" t="n">
        <v>3</v>
      </c>
      <c r="K401" t="n">
        <v>20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400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</row>
    <row r="402">
      <c r="A402" t="inlineStr">
        <is>
          <t>karieyh_haubert</t>
        </is>
      </c>
      <c r="B402" t="n">
        <v>32</v>
      </c>
      <c r="C402" t="n">
        <v>27925</v>
      </c>
      <c r="D402" t="n">
        <v>18</v>
      </c>
      <c r="E402" t="n">
        <v>18</v>
      </c>
      <c r="F402" t="n">
        <v>9</v>
      </c>
      <c r="G402" t="n">
        <v>6</v>
      </c>
      <c r="H402" t="n">
        <v>6</v>
      </c>
      <c r="I402" t="n">
        <v>6</v>
      </c>
      <c r="J402" t="n">
        <v>6</v>
      </c>
      <c r="K402" t="n">
        <v>25</v>
      </c>
      <c r="L402" t="n">
        <v>0</v>
      </c>
      <c r="M402" t="n">
        <v>0</v>
      </c>
      <c r="N402" t="n">
        <v>0</v>
      </c>
      <c r="O402" t="n">
        <v>0</v>
      </c>
      <c r="P402" t="n">
        <v>2</v>
      </c>
      <c r="Q402" t="n">
        <v>0</v>
      </c>
      <c r="R402" t="n">
        <v>0</v>
      </c>
      <c r="S402" t="n">
        <v>200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inlineStr">
        <is>
          <t>karieyh_haubert_+1</t>
        </is>
      </c>
      <c r="B403" t="n">
        <v>32</v>
      </c>
      <c r="C403" t="n">
        <v>27895</v>
      </c>
      <c r="D403" t="n">
        <v>29</v>
      </c>
      <c r="E403" t="n">
        <v>20</v>
      </c>
      <c r="F403" t="n">
        <v>19</v>
      </c>
      <c r="G403" t="n">
        <v>18</v>
      </c>
      <c r="H403" t="n">
        <v>12</v>
      </c>
      <c r="I403" t="n">
        <v>12</v>
      </c>
      <c r="J403" t="n">
        <v>12</v>
      </c>
      <c r="K403" t="n">
        <v>26</v>
      </c>
      <c r="L403" t="n">
        <v>0</v>
      </c>
      <c r="M403" t="n">
        <v>0</v>
      </c>
      <c r="N403" t="n">
        <v>0</v>
      </c>
      <c r="O403" t="n">
        <v>0</v>
      </c>
      <c r="P403" t="n">
        <v>2</v>
      </c>
      <c r="Q403" t="n">
        <v>0</v>
      </c>
      <c r="R403" t="n">
        <v>0</v>
      </c>
      <c r="S403" t="n">
        <v>300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</row>
    <row r="404">
      <c r="A404" t="inlineStr">
        <is>
          <t>karieyh_morion</t>
        </is>
      </c>
      <c r="B404" t="n">
        <v>16</v>
      </c>
      <c r="C404" t="n">
        <v>27785</v>
      </c>
      <c r="D404" t="n">
        <v>16</v>
      </c>
      <c r="E404" t="n">
        <v>16</v>
      </c>
      <c r="F404" t="n">
        <v>9</v>
      </c>
      <c r="G404" t="n">
        <v>7</v>
      </c>
      <c r="H404" t="n">
        <v>7</v>
      </c>
      <c r="I404" t="n">
        <v>7</v>
      </c>
      <c r="J404" t="n">
        <v>7</v>
      </c>
      <c r="K404" t="n">
        <v>0</v>
      </c>
      <c r="L404" t="n">
        <v>0</v>
      </c>
      <c r="M404" t="n">
        <v>10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600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</row>
    <row r="405">
      <c r="A405" t="inlineStr">
        <is>
          <t>karieyh_morion_+1</t>
        </is>
      </c>
      <c r="B405" t="n">
        <v>16</v>
      </c>
      <c r="C405" t="n">
        <v>27752</v>
      </c>
      <c r="D405" t="n">
        <v>19</v>
      </c>
      <c r="E405" t="n">
        <v>22</v>
      </c>
      <c r="F405" t="n">
        <v>20</v>
      </c>
      <c r="G405" t="n">
        <v>15</v>
      </c>
      <c r="H405" t="n">
        <v>11</v>
      </c>
      <c r="I405" t="n">
        <v>11</v>
      </c>
      <c r="J405" t="n">
        <v>11</v>
      </c>
      <c r="K405" t="n">
        <v>0</v>
      </c>
      <c r="L405" t="n">
        <v>0</v>
      </c>
      <c r="M405" t="n">
        <v>11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700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</row>
    <row r="406">
      <c r="A406" t="inlineStr">
        <is>
          <t>karieyh_moufles</t>
        </is>
      </c>
      <c r="B406" t="n">
        <v>64</v>
      </c>
      <c r="C406" t="n">
        <v>28065</v>
      </c>
      <c r="D406" t="n">
        <v>3</v>
      </c>
      <c r="E406" t="n">
        <v>14</v>
      </c>
      <c r="F406" t="n">
        <v>14</v>
      </c>
      <c r="G406" t="n">
        <v>0</v>
      </c>
      <c r="H406" t="n">
        <v>2</v>
      </c>
      <c r="I406" t="n">
        <v>8</v>
      </c>
      <c r="J406" t="n">
        <v>6</v>
      </c>
      <c r="K406" t="n">
        <v>0</v>
      </c>
      <c r="L406" t="n">
        <v>0</v>
      </c>
      <c r="M406" t="n">
        <v>10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400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</row>
    <row r="407">
      <c r="A407" t="inlineStr">
        <is>
          <t>karieyh_moufles_+1</t>
        </is>
      </c>
      <c r="B407" t="n">
        <v>64</v>
      </c>
      <c r="C407" t="n">
        <v>28042</v>
      </c>
      <c r="D407" t="n">
        <v>6</v>
      </c>
      <c r="E407" t="n">
        <v>19</v>
      </c>
      <c r="F407" t="n">
        <v>21</v>
      </c>
      <c r="G407" t="n">
        <v>0</v>
      </c>
      <c r="H407" t="n">
        <v>5</v>
      </c>
      <c r="I407" t="n">
        <v>16</v>
      </c>
      <c r="J407" t="n">
        <v>12</v>
      </c>
      <c r="K407" t="n">
        <v>0</v>
      </c>
      <c r="L407" t="n">
        <v>0</v>
      </c>
      <c r="M407" t="n">
        <v>11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400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</row>
    <row r="408">
      <c r="A408" t="inlineStr">
        <is>
          <t>karieyh_ring</t>
        </is>
      </c>
      <c r="B408" t="n">
        <v>24576</v>
      </c>
      <c r="C408" t="n">
        <v>27587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3</v>
      </c>
      <c r="Z408" t="n">
        <v>0</v>
      </c>
      <c r="AA408" t="n">
        <v>0</v>
      </c>
      <c r="AB408" t="n">
        <v>5</v>
      </c>
      <c r="AC408" t="n">
        <v>0</v>
      </c>
    </row>
    <row r="409">
      <c r="A409" t="inlineStr">
        <is>
          <t>karieyh_ring_+1</t>
        </is>
      </c>
      <c r="B409" t="n">
        <v>24576</v>
      </c>
      <c r="C409" t="n">
        <v>26199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4</v>
      </c>
      <c r="Z409" t="n">
        <v>0</v>
      </c>
      <c r="AA409" t="n">
        <v>0</v>
      </c>
      <c r="AB409" t="n">
        <v>10</v>
      </c>
      <c r="AC409" t="n">
        <v>0</v>
      </c>
    </row>
    <row r="410">
      <c r="A410" t="inlineStr">
        <is>
          <t>karieyh_sollerets</t>
        </is>
      </c>
      <c r="B410" t="n">
        <v>256</v>
      </c>
      <c r="C410" t="n">
        <v>28345</v>
      </c>
      <c r="D410" t="n">
        <v>11</v>
      </c>
      <c r="E410" t="n">
        <v>11</v>
      </c>
      <c r="F410" t="n">
        <v>11</v>
      </c>
      <c r="G410" t="n">
        <v>9</v>
      </c>
      <c r="H410" t="n">
        <v>0</v>
      </c>
      <c r="I410" t="n">
        <v>3</v>
      </c>
      <c r="J410" t="n">
        <v>8</v>
      </c>
      <c r="K410" t="n">
        <v>10</v>
      </c>
      <c r="L410" t="n">
        <v>0</v>
      </c>
      <c r="M410" t="n">
        <v>10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200</v>
      </c>
      <c r="T410" t="n">
        <v>0</v>
      </c>
      <c r="U410" t="n">
        <v>0</v>
      </c>
      <c r="V410" t="n">
        <v>0</v>
      </c>
      <c r="W410" t="n">
        <v>5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</row>
    <row r="411">
      <c r="A411" t="inlineStr">
        <is>
          <t>karmesin_vest</t>
        </is>
      </c>
      <c r="B411" t="n">
        <v>32</v>
      </c>
      <c r="C411" t="n">
        <v>27861</v>
      </c>
      <c r="D411" t="n">
        <v>25</v>
      </c>
      <c r="E411" t="n">
        <v>30</v>
      </c>
      <c r="F411" t="n">
        <v>23</v>
      </c>
      <c r="G411" t="n">
        <v>29</v>
      </c>
      <c r="H411" t="n">
        <v>22</v>
      </c>
      <c r="I411" t="n">
        <v>22</v>
      </c>
      <c r="J411" t="n">
        <v>22</v>
      </c>
      <c r="K411" t="n">
        <v>0</v>
      </c>
      <c r="L411" t="n">
        <v>0</v>
      </c>
      <c r="M411" t="n">
        <v>23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600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</row>
    <row r="412">
      <c r="A412" t="inlineStr">
        <is>
          <t>kasiri_belt</t>
        </is>
      </c>
      <c r="B412" t="n">
        <v>1024</v>
      </c>
      <c r="C412" t="n">
        <v>28456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400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</row>
    <row r="413">
      <c r="A413" t="inlineStr">
        <is>
          <t>kayapa_cape</t>
        </is>
      </c>
      <c r="B413" t="n">
        <v>32768</v>
      </c>
      <c r="C413" t="n">
        <v>28613</v>
      </c>
      <c r="D413" t="n">
        <v>0</v>
      </c>
      <c r="E413" t="n">
        <v>8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</row>
    <row r="414">
      <c r="A414" t="inlineStr">
        <is>
          <t>kayres_ring</t>
        </is>
      </c>
      <c r="B414" t="n">
        <v>24576</v>
      </c>
      <c r="C414" t="n">
        <v>28579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5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5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</row>
    <row r="415">
      <c r="A415" t="inlineStr">
        <is>
          <t>ken._hakama</t>
        </is>
      </c>
      <c r="B415" t="n">
        <v>128</v>
      </c>
      <c r="C415" t="n">
        <v>25891</v>
      </c>
      <c r="D415" t="n">
        <v>37</v>
      </c>
      <c r="E415" t="n">
        <v>0</v>
      </c>
      <c r="F415" t="n">
        <v>25</v>
      </c>
      <c r="G415" t="n">
        <v>28</v>
      </c>
      <c r="H415" t="n">
        <v>32</v>
      </c>
      <c r="I415" t="n">
        <v>16</v>
      </c>
      <c r="J415" t="n">
        <v>12</v>
      </c>
      <c r="K415" t="n">
        <v>0</v>
      </c>
      <c r="L415" t="n">
        <v>0</v>
      </c>
      <c r="M415" t="n">
        <v>41</v>
      </c>
      <c r="N415" t="n">
        <v>5</v>
      </c>
      <c r="O415" t="n">
        <v>0</v>
      </c>
      <c r="P415" t="n">
        <v>0</v>
      </c>
      <c r="Q415" t="n">
        <v>4</v>
      </c>
      <c r="R415" t="n">
        <v>0</v>
      </c>
      <c r="S415" t="n">
        <v>900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inlineStr">
        <is>
          <t>ken._jinpachi</t>
        </is>
      </c>
      <c r="B416" t="n">
        <v>16</v>
      </c>
      <c r="C416" t="n">
        <v>25551</v>
      </c>
      <c r="D416" t="n">
        <v>23</v>
      </c>
      <c r="E416" t="n">
        <v>42</v>
      </c>
      <c r="F416" t="n">
        <v>32</v>
      </c>
      <c r="G416" t="n">
        <v>29</v>
      </c>
      <c r="H416" t="n">
        <v>19</v>
      </c>
      <c r="I416" t="n">
        <v>17</v>
      </c>
      <c r="J416" t="n">
        <v>19</v>
      </c>
      <c r="K416" t="n">
        <v>0</v>
      </c>
      <c r="L416" t="n">
        <v>0</v>
      </c>
      <c r="M416" t="n">
        <v>40</v>
      </c>
      <c r="N416" t="n">
        <v>3</v>
      </c>
      <c r="O416" t="n">
        <v>0</v>
      </c>
      <c r="P416" t="n">
        <v>0</v>
      </c>
      <c r="Q416" t="n">
        <v>3</v>
      </c>
      <c r="R416" t="n">
        <v>0</v>
      </c>
      <c r="S416" t="n">
        <v>600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inlineStr">
        <is>
          <t>ken._jinpachi_+1</t>
        </is>
      </c>
      <c r="B417" t="n">
        <v>16</v>
      </c>
      <c r="C417" t="n">
        <v>25552</v>
      </c>
      <c r="D417" t="n">
        <v>23</v>
      </c>
      <c r="E417" t="n">
        <v>47</v>
      </c>
      <c r="F417" t="n">
        <v>32</v>
      </c>
      <c r="G417" t="n">
        <v>34</v>
      </c>
      <c r="H417" t="n">
        <v>19</v>
      </c>
      <c r="I417" t="n">
        <v>17</v>
      </c>
      <c r="J417" t="n">
        <v>19</v>
      </c>
      <c r="K417" t="n">
        <v>0</v>
      </c>
      <c r="L417" t="n">
        <v>0</v>
      </c>
      <c r="M417" t="n">
        <v>50</v>
      </c>
      <c r="N417" t="n">
        <v>5</v>
      </c>
      <c r="O417" t="n">
        <v>0</v>
      </c>
      <c r="P417" t="n">
        <v>0</v>
      </c>
      <c r="Q417" t="n">
        <v>4</v>
      </c>
      <c r="R417" t="n">
        <v>0</v>
      </c>
      <c r="S417" t="n">
        <v>600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inlineStr">
        <is>
          <t>ken._samue_+1</t>
        </is>
      </c>
      <c r="B418" t="n">
        <v>32</v>
      </c>
      <c r="C418" t="n">
        <v>26528</v>
      </c>
      <c r="D418" t="n">
        <v>33</v>
      </c>
      <c r="E418" t="n">
        <v>39</v>
      </c>
      <c r="F418" t="n">
        <v>21</v>
      </c>
      <c r="G418" t="n">
        <v>37</v>
      </c>
      <c r="H418" t="n">
        <v>24</v>
      </c>
      <c r="I418" t="n">
        <v>23</v>
      </c>
      <c r="J418" t="n">
        <v>21</v>
      </c>
      <c r="K418" t="n">
        <v>0</v>
      </c>
      <c r="L418" t="n">
        <v>0</v>
      </c>
      <c r="M418" t="n">
        <v>52</v>
      </c>
      <c r="N418" t="n">
        <v>9</v>
      </c>
      <c r="O418" t="n">
        <v>0</v>
      </c>
      <c r="P418" t="n">
        <v>0</v>
      </c>
      <c r="Q418" t="n">
        <v>6</v>
      </c>
      <c r="R418" t="n">
        <v>0</v>
      </c>
      <c r="S418" t="n">
        <v>400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</row>
    <row r="419">
      <c r="A419" t="inlineStr">
        <is>
          <t>ken._sune-ate</t>
        </is>
      </c>
      <c r="B419" t="n">
        <v>256</v>
      </c>
      <c r="C419" t="n">
        <v>25958</v>
      </c>
      <c r="D419" t="n">
        <v>20</v>
      </c>
      <c r="E419" t="n">
        <v>39</v>
      </c>
      <c r="F419" t="n">
        <v>21</v>
      </c>
      <c r="G419" t="n">
        <v>39</v>
      </c>
      <c r="H419" t="n">
        <v>0</v>
      </c>
      <c r="I419" t="n">
        <v>14</v>
      </c>
      <c r="J419" t="n">
        <v>26</v>
      </c>
      <c r="K419" t="n">
        <v>0</v>
      </c>
      <c r="L419" t="n">
        <v>0</v>
      </c>
      <c r="M419" t="n">
        <v>38</v>
      </c>
      <c r="N419" t="n">
        <v>3</v>
      </c>
      <c r="O419" t="n">
        <v>0</v>
      </c>
      <c r="P419" t="n">
        <v>0</v>
      </c>
      <c r="Q419" t="n">
        <v>3</v>
      </c>
      <c r="R419" t="n">
        <v>0</v>
      </c>
      <c r="S419" t="n">
        <v>300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</row>
    <row r="420">
      <c r="A420" t="inlineStr">
        <is>
          <t>ken._sune-ate_+1</t>
        </is>
      </c>
      <c r="B420" t="n">
        <v>256</v>
      </c>
      <c r="C420" t="n">
        <v>25959</v>
      </c>
      <c r="D420" t="n">
        <v>20</v>
      </c>
      <c r="E420" t="n">
        <v>44</v>
      </c>
      <c r="F420" t="n">
        <v>21</v>
      </c>
      <c r="G420" t="n">
        <v>44</v>
      </c>
      <c r="H420" t="n">
        <v>0</v>
      </c>
      <c r="I420" t="n">
        <v>14</v>
      </c>
      <c r="J420" t="n">
        <v>26</v>
      </c>
      <c r="K420" t="n">
        <v>0</v>
      </c>
      <c r="L420" t="n">
        <v>0</v>
      </c>
      <c r="M420" t="n">
        <v>48</v>
      </c>
      <c r="N420" t="n">
        <v>5</v>
      </c>
      <c r="O420" t="n">
        <v>0</v>
      </c>
      <c r="P420" t="n">
        <v>0</v>
      </c>
      <c r="Q420" t="n">
        <v>4</v>
      </c>
      <c r="R420" t="n">
        <v>0</v>
      </c>
      <c r="S420" t="n">
        <v>300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inlineStr">
        <is>
          <t>ken._tekko_+1</t>
        </is>
      </c>
      <c r="B421" t="n">
        <v>64</v>
      </c>
      <c r="C421" t="n">
        <v>25979</v>
      </c>
      <c r="D421" t="n">
        <v>14</v>
      </c>
      <c r="E421" t="n">
        <v>62</v>
      </c>
      <c r="F421" t="n">
        <v>37</v>
      </c>
      <c r="G421" t="n">
        <v>5</v>
      </c>
      <c r="H421" t="n">
        <v>14</v>
      </c>
      <c r="I421" t="n">
        <v>28</v>
      </c>
      <c r="J421" t="n">
        <v>21</v>
      </c>
      <c r="K421" t="n">
        <v>0</v>
      </c>
      <c r="L421" t="n">
        <v>0</v>
      </c>
      <c r="M421" t="n">
        <v>49</v>
      </c>
      <c r="N421" t="n">
        <v>5</v>
      </c>
      <c r="O421" t="n">
        <v>0</v>
      </c>
      <c r="P421" t="n">
        <v>0</v>
      </c>
      <c r="Q421" t="n">
        <v>4</v>
      </c>
      <c r="R421" t="n">
        <v>0</v>
      </c>
      <c r="S421" t="n">
        <v>400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</row>
    <row r="422">
      <c r="A422" t="inlineStr">
        <is>
          <t>kentarch_belt</t>
        </is>
      </c>
      <c r="B422" t="n">
        <v>1024</v>
      </c>
      <c r="C422" t="n">
        <v>28412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13</v>
      </c>
      <c r="N422" t="n">
        <v>0</v>
      </c>
      <c r="O422" t="n">
        <v>0</v>
      </c>
      <c r="P422" t="n">
        <v>2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inlineStr">
        <is>
          <t>kentarch_belt_+1</t>
        </is>
      </c>
      <c r="B423" t="n">
        <v>1024</v>
      </c>
      <c r="C423" t="n">
        <v>28413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14</v>
      </c>
      <c r="N423" t="n">
        <v>0</v>
      </c>
      <c r="O423" t="n">
        <v>0</v>
      </c>
      <c r="P423" t="n">
        <v>3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inlineStr">
        <is>
          <t>kers_sollerets</t>
        </is>
      </c>
      <c r="B424" t="n">
        <v>256</v>
      </c>
      <c r="C424" t="n">
        <v>28213</v>
      </c>
      <c r="D424" t="n">
        <v>0</v>
      </c>
      <c r="E424" t="n">
        <v>0</v>
      </c>
      <c r="F424" t="n">
        <v>7</v>
      </c>
      <c r="G424" t="n">
        <v>0</v>
      </c>
      <c r="H424" t="n">
        <v>7</v>
      </c>
      <c r="I424" t="n">
        <v>0</v>
      </c>
      <c r="J424" t="n">
        <v>0</v>
      </c>
      <c r="K424" t="n">
        <v>15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</row>
    <row r="425">
      <c r="A425" t="inlineStr">
        <is>
          <t>kheper_bonnet</t>
        </is>
      </c>
      <c r="B425" t="n">
        <v>16</v>
      </c>
      <c r="C425" t="n">
        <v>10402</v>
      </c>
      <c r="D425" t="n">
        <v>9</v>
      </c>
      <c r="E425" t="n">
        <v>9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inlineStr">
        <is>
          <t>kheper_jacket</t>
        </is>
      </c>
      <c r="B426" t="n">
        <v>32</v>
      </c>
      <c r="C426" t="n">
        <v>11875</v>
      </c>
      <c r="D426" t="n">
        <v>12</v>
      </c>
      <c r="E426" t="n">
        <v>12</v>
      </c>
      <c r="F426" t="n">
        <v>0</v>
      </c>
      <c r="G426" t="n">
        <v>12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15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</row>
    <row r="427">
      <c r="A427" t="inlineStr">
        <is>
          <t>kheper_kecks</t>
        </is>
      </c>
      <c r="B427" t="n">
        <v>128</v>
      </c>
      <c r="C427" t="n">
        <v>10567</v>
      </c>
      <c r="D427" t="n">
        <v>9</v>
      </c>
      <c r="E427" t="n">
        <v>9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7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</row>
    <row r="428">
      <c r="A428" t="inlineStr">
        <is>
          <t>kheper_wristbands</t>
        </is>
      </c>
      <c r="B428" t="n">
        <v>64</v>
      </c>
      <c r="C428" t="n">
        <v>10536</v>
      </c>
      <c r="D428" t="n">
        <v>6</v>
      </c>
      <c r="E428" t="n">
        <v>0</v>
      </c>
      <c r="F428" t="n">
        <v>0</v>
      </c>
      <c r="G428" t="n">
        <v>0</v>
      </c>
      <c r="H428" t="n">
        <v>6</v>
      </c>
      <c r="I428" t="n">
        <v>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</row>
    <row r="429">
      <c r="A429" t="inlineStr">
        <is>
          <t>khepri_bonnet</t>
        </is>
      </c>
      <c r="B429" t="n">
        <v>16</v>
      </c>
      <c r="C429" t="n">
        <v>10407</v>
      </c>
      <c r="D429" t="n">
        <v>12</v>
      </c>
      <c r="E429" t="n">
        <v>12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13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inlineStr">
        <is>
          <t>khepri_jacket</t>
        </is>
      </c>
      <c r="B430" t="n">
        <v>32</v>
      </c>
      <c r="C430" t="n">
        <v>10491</v>
      </c>
      <c r="D430" t="n">
        <v>15</v>
      </c>
      <c r="E430" t="n">
        <v>15</v>
      </c>
      <c r="F430" t="n">
        <v>0</v>
      </c>
      <c r="G430" t="n">
        <v>15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18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inlineStr">
        <is>
          <t>khepri_kecks</t>
        </is>
      </c>
      <c r="B431" t="n">
        <v>128</v>
      </c>
      <c r="C431" t="n">
        <v>10572</v>
      </c>
      <c r="D431" t="n">
        <v>12</v>
      </c>
      <c r="E431" t="n">
        <v>12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</row>
    <row r="432">
      <c r="A432" t="inlineStr">
        <is>
          <t>khepri_wristbands</t>
        </is>
      </c>
      <c r="B432" t="n">
        <v>64</v>
      </c>
      <c r="C432" t="n">
        <v>10541</v>
      </c>
      <c r="D432" t="n">
        <v>9</v>
      </c>
      <c r="E432" t="n">
        <v>0</v>
      </c>
      <c r="F432" t="n">
        <v>0</v>
      </c>
      <c r="G432" t="n">
        <v>0</v>
      </c>
      <c r="H432" t="n">
        <v>9</v>
      </c>
      <c r="I432" t="n">
        <v>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</row>
    <row r="433">
      <c r="A433" t="inlineStr">
        <is>
          <t>kobo_kote</t>
        </is>
      </c>
      <c r="B433" t="n">
        <v>64</v>
      </c>
      <c r="C433" t="n">
        <v>27133</v>
      </c>
      <c r="D433" t="n">
        <v>12</v>
      </c>
      <c r="E433" t="n">
        <v>38</v>
      </c>
      <c r="F433" t="n">
        <v>30</v>
      </c>
      <c r="G433" t="n">
        <v>40</v>
      </c>
      <c r="H433" t="n">
        <v>12</v>
      </c>
      <c r="I433" t="n">
        <v>30</v>
      </c>
      <c r="J433" t="n">
        <v>17</v>
      </c>
      <c r="K433" t="n">
        <v>0</v>
      </c>
      <c r="L433" t="n">
        <v>0</v>
      </c>
      <c r="M433" t="n">
        <v>0</v>
      </c>
      <c r="N433" t="n">
        <v>4</v>
      </c>
      <c r="O433" t="n">
        <v>0</v>
      </c>
      <c r="P433" t="n">
        <v>0</v>
      </c>
      <c r="Q433" t="n">
        <v>0</v>
      </c>
      <c r="R433" t="n">
        <v>0</v>
      </c>
      <c r="S433" t="n">
        <v>400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</row>
    <row r="434">
      <c r="A434" t="inlineStr">
        <is>
          <t>kokous_earring</t>
        </is>
      </c>
      <c r="B434" t="n">
        <v>6144</v>
      </c>
      <c r="C434" t="n">
        <v>10295</v>
      </c>
      <c r="D434" t="n">
        <v>4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4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inlineStr">
        <is>
          <t>kudzu_aketon</t>
        </is>
      </c>
      <c r="B435" t="n">
        <v>32</v>
      </c>
      <c r="C435" t="n">
        <v>10488</v>
      </c>
      <c r="D435" t="n">
        <v>10</v>
      </c>
      <c r="E435" t="n">
        <v>0</v>
      </c>
      <c r="F435" t="n">
        <v>0</v>
      </c>
      <c r="G435" t="n">
        <v>10</v>
      </c>
      <c r="H435" t="n">
        <v>0</v>
      </c>
      <c r="I435" t="n">
        <v>0</v>
      </c>
      <c r="J435" t="n">
        <v>0</v>
      </c>
      <c r="K435" t="n">
        <v>13</v>
      </c>
      <c r="L435" t="n">
        <v>0</v>
      </c>
      <c r="M435" t="n">
        <v>0</v>
      </c>
      <c r="N435" t="n">
        <v>0</v>
      </c>
      <c r="O435" t="n">
        <v>0</v>
      </c>
      <c r="P435" t="n">
        <v>3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5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inlineStr">
        <is>
          <t>kumarbis_akar</t>
        </is>
      </c>
      <c r="B436" t="n">
        <v>32</v>
      </c>
      <c r="C436" t="n">
        <v>10468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20</v>
      </c>
      <c r="L436" t="n">
        <v>0</v>
      </c>
      <c r="M436" t="n">
        <v>20</v>
      </c>
      <c r="N436" t="n">
        <v>5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inlineStr">
        <is>
          <t>kuwunga_earring</t>
        </is>
      </c>
      <c r="B437" t="n">
        <v>6144</v>
      </c>
      <c r="C437" t="n">
        <v>28508</v>
      </c>
      <c r="D437" t="n">
        <v>2</v>
      </c>
      <c r="E437" t="n">
        <v>2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inlineStr">
        <is>
          <t>lacono_neck._+1</t>
        </is>
      </c>
      <c r="B438" t="n">
        <v>512</v>
      </c>
      <c r="C438" t="n">
        <v>28360</v>
      </c>
      <c r="D438" t="n">
        <v>7</v>
      </c>
      <c r="E438" t="n">
        <v>0</v>
      </c>
      <c r="F438" t="n">
        <v>-5</v>
      </c>
      <c r="G438" t="n">
        <v>0</v>
      </c>
      <c r="H438" t="n">
        <v>0</v>
      </c>
      <c r="I438" t="n">
        <v>0</v>
      </c>
      <c r="J438" t="n">
        <v>0</v>
      </c>
      <c r="K438" t="n">
        <v>8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inlineStr">
        <is>
          <t>laeradr_breastplate</t>
        </is>
      </c>
      <c r="B439" t="n">
        <v>32</v>
      </c>
      <c r="C439" t="n">
        <v>10280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-200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</row>
    <row r="440">
      <c r="A440" t="inlineStr">
        <is>
          <t>laeradr_helm</t>
        </is>
      </c>
      <c r="B440" t="n">
        <v>16</v>
      </c>
      <c r="C440" t="n">
        <v>10442</v>
      </c>
      <c r="D440" t="n">
        <v>0</v>
      </c>
      <c r="E440" t="n">
        <v>0</v>
      </c>
      <c r="F440" t="n">
        <v>13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-200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inlineStr">
        <is>
          <t>laic_mantle</t>
        </is>
      </c>
      <c r="B441" t="n">
        <v>32768</v>
      </c>
      <c r="C441" t="n">
        <v>27618</v>
      </c>
      <c r="D441" t="n">
        <v>6</v>
      </c>
      <c r="E441" t="n">
        <v>4</v>
      </c>
      <c r="F441" t="n">
        <v>6</v>
      </c>
      <c r="G441" t="n">
        <v>4</v>
      </c>
      <c r="H441" t="n">
        <v>4</v>
      </c>
      <c r="I441" t="n">
        <v>4</v>
      </c>
      <c r="J441" t="n">
        <v>4</v>
      </c>
      <c r="K441" t="n">
        <v>15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2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</row>
    <row r="442">
      <c r="A442" t="inlineStr">
        <is>
          <t>laktisma_hose</t>
        </is>
      </c>
      <c r="B442" t="n">
        <v>128</v>
      </c>
      <c r="C442" t="n">
        <v>28165</v>
      </c>
      <c r="D442" t="n">
        <v>21</v>
      </c>
      <c r="E442" t="n">
        <v>0</v>
      </c>
      <c r="F442" t="n">
        <v>10</v>
      </c>
      <c r="G442" t="n">
        <v>12</v>
      </c>
      <c r="H442" t="n">
        <v>18</v>
      </c>
      <c r="I442" t="n">
        <v>10</v>
      </c>
      <c r="J442" t="n">
        <v>5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600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inlineStr">
        <is>
          <t>lapidary_tunic</t>
        </is>
      </c>
      <c r="B443" t="n">
        <v>32</v>
      </c>
      <c r="C443" t="n">
        <v>26970</v>
      </c>
      <c r="D443" t="n">
        <v>18</v>
      </c>
      <c r="E443" t="n">
        <v>18</v>
      </c>
      <c r="F443" t="n">
        <v>18</v>
      </c>
      <c r="G443" t="n">
        <v>18</v>
      </c>
      <c r="H443" t="n">
        <v>33</v>
      </c>
      <c r="I443" t="n">
        <v>33</v>
      </c>
      <c r="J443" t="n">
        <v>23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600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inlineStr">
        <is>
          <t>latria_sash</t>
        </is>
      </c>
      <c r="B444" t="n">
        <v>1024</v>
      </c>
      <c r="C444" t="n">
        <v>26324</v>
      </c>
      <c r="D444" t="n">
        <v>7</v>
      </c>
      <c r="E444" t="n">
        <v>7</v>
      </c>
      <c r="F444" t="n">
        <v>7</v>
      </c>
      <c r="G444" t="n">
        <v>7</v>
      </c>
      <c r="H444" t="n">
        <v>7</v>
      </c>
      <c r="I444" t="n">
        <v>7</v>
      </c>
      <c r="J444" t="n">
        <v>7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inlineStr">
        <is>
          <t>laudan_cuirass</t>
        </is>
      </c>
      <c r="B445" t="n">
        <v>32</v>
      </c>
      <c r="C445" t="n">
        <v>10290</v>
      </c>
      <c r="D445" t="n">
        <v>16</v>
      </c>
      <c r="E445" t="n">
        <v>0</v>
      </c>
      <c r="F445" t="n">
        <v>10</v>
      </c>
      <c r="G445" t="n">
        <v>0</v>
      </c>
      <c r="H445" t="n">
        <v>10</v>
      </c>
      <c r="I445" t="n">
        <v>0</v>
      </c>
      <c r="J445" t="n">
        <v>0</v>
      </c>
      <c r="K445" t="n">
        <v>30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300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inlineStr">
        <is>
          <t>letalis_mantle</t>
        </is>
      </c>
      <c r="B446" t="n">
        <v>32768</v>
      </c>
      <c r="C446" t="n">
        <v>11007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5</v>
      </c>
      <c r="L446" t="n">
        <v>0</v>
      </c>
      <c r="M446" t="n">
        <v>15</v>
      </c>
      <c r="N446" t="n">
        <v>0</v>
      </c>
      <c r="O446" t="n">
        <v>0</v>
      </c>
      <c r="P446" t="n">
        <v>3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inlineStr">
        <is>
          <t>leyline_gloves</t>
        </is>
      </c>
      <c r="B447" t="n">
        <v>64</v>
      </c>
      <c r="C447" t="n">
        <v>27135</v>
      </c>
      <c r="D447" t="n">
        <v>11</v>
      </c>
      <c r="E447" t="n">
        <v>35</v>
      </c>
      <c r="F447" t="n">
        <v>32</v>
      </c>
      <c r="G447" t="n">
        <v>5</v>
      </c>
      <c r="H447" t="n">
        <v>12</v>
      </c>
      <c r="I447" t="n">
        <v>30</v>
      </c>
      <c r="J447" t="n">
        <v>17</v>
      </c>
      <c r="K447" t="n">
        <v>0</v>
      </c>
      <c r="L447" t="n">
        <v>0</v>
      </c>
      <c r="M447" t="n">
        <v>18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500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inlineStr">
        <is>
          <t>lissome_necklace</t>
        </is>
      </c>
      <c r="B448" t="n">
        <v>512</v>
      </c>
      <c r="C448" t="n">
        <v>26004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8</v>
      </c>
      <c r="N448" t="n">
        <v>0</v>
      </c>
      <c r="O448" t="n">
        <v>0</v>
      </c>
      <c r="P448" t="n">
        <v>100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4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</row>
    <row r="449">
      <c r="A449" t="inlineStr">
        <is>
          <t>lithelimb_cap</t>
        </is>
      </c>
      <c r="B449" t="n">
        <v>16</v>
      </c>
      <c r="C449" t="n">
        <v>27744</v>
      </c>
      <c r="D449" t="n">
        <v>24</v>
      </c>
      <c r="E449" t="n">
        <v>20</v>
      </c>
      <c r="F449" t="n">
        <v>24</v>
      </c>
      <c r="G449" t="n">
        <v>31</v>
      </c>
      <c r="H449" t="n">
        <v>20</v>
      </c>
      <c r="I449" t="n">
        <v>20</v>
      </c>
      <c r="J449" t="n">
        <v>20</v>
      </c>
      <c r="K449" t="n">
        <v>0</v>
      </c>
      <c r="L449" t="n">
        <v>0</v>
      </c>
      <c r="M449" t="n">
        <v>15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800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</row>
    <row r="450">
      <c r="A450" t="inlineStr">
        <is>
          <t>loess_barbuta_+1</t>
        </is>
      </c>
      <c r="B450" t="n">
        <v>16</v>
      </c>
      <c r="C450" t="n">
        <v>25636</v>
      </c>
      <c r="D450" t="n">
        <v>21</v>
      </c>
      <c r="E450" t="n">
        <v>21</v>
      </c>
      <c r="F450" t="n">
        <v>21</v>
      </c>
      <c r="G450" t="n">
        <v>21</v>
      </c>
      <c r="H450" t="n">
        <v>21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inlineStr">
        <is>
          <t>lupine_cape</t>
        </is>
      </c>
      <c r="B451" t="n">
        <v>32768</v>
      </c>
      <c r="C451" t="n">
        <v>27608</v>
      </c>
      <c r="D451" t="n">
        <v>5</v>
      </c>
      <c r="E451" t="n">
        <v>0</v>
      </c>
      <c r="F451" t="n">
        <v>0</v>
      </c>
      <c r="G451" t="n">
        <v>5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15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4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</row>
    <row r="452">
      <c r="A452" t="inlineStr">
        <is>
          <t>lustr._harness_+1</t>
        </is>
      </c>
      <c r="B452" t="n">
        <v>32</v>
      </c>
      <c r="C452" t="n">
        <v>26845</v>
      </c>
      <c r="D452" t="n">
        <v>41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40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-1600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inlineStr">
        <is>
          <t>lustr._mittens_+1</t>
        </is>
      </c>
      <c r="B453" t="n">
        <v>64</v>
      </c>
      <c r="C453" t="n">
        <v>27021</v>
      </c>
      <c r="D453" t="n">
        <v>22</v>
      </c>
      <c r="E453" t="n">
        <v>44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-800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</row>
    <row r="454">
      <c r="A454" t="inlineStr">
        <is>
          <t>lustr._subligar_+1</t>
        </is>
      </c>
      <c r="B454" t="n">
        <v>128</v>
      </c>
      <c r="C454" t="n">
        <v>27197</v>
      </c>
      <c r="D454" t="n">
        <v>0</v>
      </c>
      <c r="E454" t="n">
        <v>35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38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-1500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</row>
    <row r="455">
      <c r="A455" t="inlineStr">
        <is>
          <t>lustra._leggings_+1</t>
        </is>
      </c>
      <c r="B455" t="n">
        <v>256</v>
      </c>
      <c r="C455" t="n">
        <v>27373</v>
      </c>
      <c r="D455" t="n">
        <v>32</v>
      </c>
      <c r="E455" t="n">
        <v>33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-700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</row>
    <row r="456">
      <c r="A456" t="inlineStr">
        <is>
          <t>lustratio_cap</t>
        </is>
      </c>
      <c r="B456" t="n">
        <v>16</v>
      </c>
      <c r="C456" t="n">
        <v>26668</v>
      </c>
      <c r="D456" t="n">
        <v>36</v>
      </c>
      <c r="E456" t="n">
        <v>34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-1000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</row>
    <row r="457">
      <c r="A457" t="inlineStr">
        <is>
          <t>lustratio_cap_+1</t>
        </is>
      </c>
      <c r="B457" t="n">
        <v>16</v>
      </c>
      <c r="C457" t="n">
        <v>26669</v>
      </c>
      <c r="D457" t="n">
        <v>39</v>
      </c>
      <c r="E457" t="n">
        <v>37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-1200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</row>
    <row r="458">
      <c r="A458" t="inlineStr">
        <is>
          <t>lustratio_leggings</t>
        </is>
      </c>
      <c r="B458" t="n">
        <v>256</v>
      </c>
      <c r="C458" t="n">
        <v>27372</v>
      </c>
      <c r="D458" t="n">
        <v>29</v>
      </c>
      <c r="E458" t="n">
        <v>30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-500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</row>
    <row r="459">
      <c r="A459" t="inlineStr">
        <is>
          <t>lustratio_mittens</t>
        </is>
      </c>
      <c r="B459" t="n">
        <v>64</v>
      </c>
      <c r="C459" t="n">
        <v>27020</v>
      </c>
      <c r="D459" t="n">
        <v>19</v>
      </c>
      <c r="E459" t="n">
        <v>41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-600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</row>
    <row r="460">
      <c r="A460" t="inlineStr">
        <is>
          <t>lustratio_subligar</t>
        </is>
      </c>
      <c r="B460" t="n">
        <v>128</v>
      </c>
      <c r="C460" t="n">
        <v>27196</v>
      </c>
      <c r="D460" t="n">
        <v>0</v>
      </c>
      <c r="E460" t="n">
        <v>32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35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-1300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</row>
    <row r="461">
      <c r="A461" t="inlineStr">
        <is>
          <t>macabre_gaunt._+1</t>
        </is>
      </c>
      <c r="B461" t="n">
        <v>64</v>
      </c>
      <c r="C461" t="n">
        <v>27994</v>
      </c>
      <c r="D461" t="n">
        <v>10</v>
      </c>
      <c r="E461" t="n">
        <v>29</v>
      </c>
      <c r="F461" t="n">
        <v>33</v>
      </c>
      <c r="G461" t="n">
        <v>0</v>
      </c>
      <c r="H461" t="n">
        <v>8</v>
      </c>
      <c r="I461" t="n">
        <v>25</v>
      </c>
      <c r="J461" t="n">
        <v>19</v>
      </c>
      <c r="K461" t="n">
        <v>24</v>
      </c>
      <c r="L461" t="n">
        <v>0</v>
      </c>
      <c r="M461" t="n">
        <v>17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400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</row>
    <row r="462">
      <c r="A462" t="inlineStr">
        <is>
          <t>mache_earring</t>
        </is>
      </c>
      <c r="B462" t="n">
        <v>6144</v>
      </c>
      <c r="C462" t="n">
        <v>26080</v>
      </c>
      <c r="D462" t="n">
        <v>0</v>
      </c>
      <c r="E462" t="n">
        <v>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7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</row>
    <row r="463">
      <c r="A463" t="inlineStr">
        <is>
          <t>mache_earring_+1</t>
        </is>
      </c>
      <c r="B463" t="n">
        <v>6144</v>
      </c>
      <c r="C463" t="n">
        <v>26081</v>
      </c>
      <c r="D463" t="n">
        <v>0</v>
      </c>
      <c r="E463" t="n">
        <v>8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10</v>
      </c>
      <c r="N463" t="n">
        <v>0</v>
      </c>
      <c r="O463" t="n">
        <v>0</v>
      </c>
      <c r="P463" t="n">
        <v>2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</row>
    <row r="464">
      <c r="A464" t="inlineStr">
        <is>
          <t>maiitsoh_haube</t>
        </is>
      </c>
      <c r="B464" t="n">
        <v>16</v>
      </c>
      <c r="C464" t="n">
        <v>25600</v>
      </c>
      <c r="D464" t="n">
        <v>28</v>
      </c>
      <c r="E464" t="n">
        <v>24</v>
      </c>
      <c r="F464" t="n">
        <v>20</v>
      </c>
      <c r="G464" t="n">
        <v>18</v>
      </c>
      <c r="H464" t="n">
        <v>17</v>
      </c>
      <c r="I464" t="n">
        <v>17</v>
      </c>
      <c r="J464" t="n">
        <v>17</v>
      </c>
      <c r="K464" t="n">
        <v>0</v>
      </c>
      <c r="L464" t="n">
        <v>33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700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inlineStr">
        <is>
          <t>malignance_boots</t>
        </is>
      </c>
      <c r="B465" t="n">
        <v>256</v>
      </c>
      <c r="C465" t="n">
        <v>23736</v>
      </c>
      <c r="D465" t="n">
        <v>6</v>
      </c>
      <c r="E465" t="n">
        <v>40</v>
      </c>
      <c r="F465" t="n">
        <v>12</v>
      </c>
      <c r="G465" t="n">
        <v>49</v>
      </c>
      <c r="H465" t="n">
        <v>4</v>
      </c>
      <c r="I465" t="n">
        <v>15</v>
      </c>
      <c r="J465" t="n">
        <v>40</v>
      </c>
      <c r="K465" t="n">
        <v>0</v>
      </c>
      <c r="L465" t="n">
        <v>0</v>
      </c>
      <c r="M465" t="n">
        <v>50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300</v>
      </c>
      <c r="T465" t="n">
        <v>0</v>
      </c>
      <c r="U465" t="n">
        <v>0</v>
      </c>
      <c r="V465" t="n">
        <v>0</v>
      </c>
      <c r="W465" t="n">
        <v>10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</row>
    <row r="466">
      <c r="A466" t="inlineStr">
        <is>
          <t>malignance_chapeau</t>
        </is>
      </c>
      <c r="B466" t="n">
        <v>16</v>
      </c>
      <c r="C466" t="n">
        <v>23732</v>
      </c>
      <c r="D466" t="n">
        <v>11</v>
      </c>
      <c r="E466" t="n">
        <v>40</v>
      </c>
      <c r="F466" t="n">
        <v>19</v>
      </c>
      <c r="G466" t="n">
        <v>33</v>
      </c>
      <c r="H466" t="n">
        <v>25</v>
      </c>
      <c r="I466" t="n">
        <v>16</v>
      </c>
      <c r="J466" t="n">
        <v>17</v>
      </c>
      <c r="K466" t="n">
        <v>0</v>
      </c>
      <c r="L466" t="n">
        <v>0</v>
      </c>
      <c r="M466" t="n">
        <v>50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600</v>
      </c>
      <c r="T466" t="n">
        <v>0</v>
      </c>
      <c r="U466" t="n">
        <v>0</v>
      </c>
      <c r="V466" t="n">
        <v>0</v>
      </c>
      <c r="W466" t="n">
        <v>8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</row>
    <row r="467">
      <c r="A467" t="inlineStr">
        <is>
          <t>malignance_gloves</t>
        </is>
      </c>
      <c r="B467" t="n">
        <v>64</v>
      </c>
      <c r="C467" t="n">
        <v>23734</v>
      </c>
      <c r="D467" t="n">
        <v>25</v>
      </c>
      <c r="E467" t="n">
        <v>56</v>
      </c>
      <c r="F467" t="n">
        <v>32</v>
      </c>
      <c r="G467" t="n">
        <v>24</v>
      </c>
      <c r="H467" t="n">
        <v>11</v>
      </c>
      <c r="I467" t="n">
        <v>42</v>
      </c>
      <c r="J467" t="n">
        <v>21</v>
      </c>
      <c r="K467" t="n">
        <v>0</v>
      </c>
      <c r="L467" t="n">
        <v>0</v>
      </c>
      <c r="M467" t="n">
        <v>50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400</v>
      </c>
      <c r="T467" t="n">
        <v>0</v>
      </c>
      <c r="U467" t="n">
        <v>0</v>
      </c>
      <c r="V467" t="n">
        <v>0</v>
      </c>
      <c r="W467" t="n">
        <v>12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</row>
    <row r="468">
      <c r="A468" t="inlineStr">
        <is>
          <t>malignance_tabard</t>
        </is>
      </c>
      <c r="B468" t="n">
        <v>32</v>
      </c>
      <c r="C468" t="n">
        <v>23733</v>
      </c>
      <c r="D468" t="n">
        <v>19</v>
      </c>
      <c r="E468" t="n">
        <v>49</v>
      </c>
      <c r="F468" t="n">
        <v>25</v>
      </c>
      <c r="G468" t="n">
        <v>42</v>
      </c>
      <c r="H468" t="n">
        <v>19</v>
      </c>
      <c r="I468" t="n">
        <v>25</v>
      </c>
      <c r="J468" t="n">
        <v>24</v>
      </c>
      <c r="K468" t="n">
        <v>0</v>
      </c>
      <c r="L468" t="n">
        <v>0</v>
      </c>
      <c r="M468" t="n">
        <v>50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400</v>
      </c>
      <c r="T468" t="n">
        <v>0</v>
      </c>
      <c r="U468" t="n">
        <v>0</v>
      </c>
      <c r="V468" t="n">
        <v>0</v>
      </c>
      <c r="W468" t="n">
        <v>11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</row>
    <row r="469">
      <c r="A469" t="inlineStr">
        <is>
          <t>malignance_tights</t>
        </is>
      </c>
      <c r="B469" t="n">
        <v>128</v>
      </c>
      <c r="C469" t="n">
        <v>23735</v>
      </c>
      <c r="D469" t="n">
        <v>28</v>
      </c>
      <c r="E469" t="n">
        <v>17</v>
      </c>
      <c r="F469" t="n">
        <v>17</v>
      </c>
      <c r="G469" t="n">
        <v>42</v>
      </c>
      <c r="H469" t="n">
        <v>26</v>
      </c>
      <c r="I469" t="n">
        <v>19</v>
      </c>
      <c r="J469" t="n">
        <v>12</v>
      </c>
      <c r="K469" t="n">
        <v>0</v>
      </c>
      <c r="L469" t="n">
        <v>0</v>
      </c>
      <c r="M469" t="n">
        <v>50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900</v>
      </c>
      <c r="T469" t="n">
        <v>0</v>
      </c>
      <c r="U469" t="n">
        <v>0</v>
      </c>
      <c r="V469" t="n">
        <v>0</v>
      </c>
      <c r="W469" t="n">
        <v>10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</row>
    <row r="470">
      <c r="A470" t="inlineStr">
        <is>
          <t>maneas_armet</t>
        </is>
      </c>
      <c r="B470" t="n">
        <v>16</v>
      </c>
      <c r="C470" t="n">
        <v>10417</v>
      </c>
      <c r="D470" t="n">
        <v>5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7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inlineStr">
        <is>
          <t>manibozho_beret</t>
        </is>
      </c>
      <c r="B471" t="n">
        <v>16</v>
      </c>
      <c r="C471" t="n">
        <v>27777</v>
      </c>
      <c r="D471" t="n">
        <v>10</v>
      </c>
      <c r="E471" t="n">
        <v>13</v>
      </c>
      <c r="F471" t="n">
        <v>10</v>
      </c>
      <c r="G471" t="n">
        <v>13</v>
      </c>
      <c r="H471" t="n">
        <v>10</v>
      </c>
      <c r="I471" t="n">
        <v>10</v>
      </c>
      <c r="J471" t="n">
        <v>11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600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inlineStr">
        <is>
          <t>manibozho_boots</t>
        </is>
      </c>
      <c r="B472" t="n">
        <v>256</v>
      </c>
      <c r="C472" t="n">
        <v>28339</v>
      </c>
      <c r="D472" t="n">
        <v>0</v>
      </c>
      <c r="E472" t="n">
        <v>8</v>
      </c>
      <c r="F472" t="n">
        <v>0</v>
      </c>
      <c r="G472" t="n">
        <v>17</v>
      </c>
      <c r="H472" t="n">
        <v>0</v>
      </c>
      <c r="I472" t="n">
        <v>0</v>
      </c>
      <c r="J472" t="n">
        <v>12</v>
      </c>
      <c r="K472" t="n">
        <v>12</v>
      </c>
      <c r="L472" t="n">
        <v>0</v>
      </c>
      <c r="M472" t="n">
        <v>0</v>
      </c>
      <c r="N472" t="n">
        <v>0</v>
      </c>
      <c r="O472" t="n">
        <v>0</v>
      </c>
      <c r="P472" t="n">
        <v>2</v>
      </c>
      <c r="Q472" t="n">
        <v>0</v>
      </c>
      <c r="R472" t="n">
        <v>0</v>
      </c>
      <c r="S472" t="n">
        <v>400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inlineStr">
        <is>
          <t>manibozho_brais</t>
        </is>
      </c>
      <c r="B473" t="n">
        <v>128</v>
      </c>
      <c r="C473" t="n">
        <v>28199</v>
      </c>
      <c r="D473" t="n">
        <v>13</v>
      </c>
      <c r="E473" t="n">
        <v>12</v>
      </c>
      <c r="F473" t="n">
        <v>4</v>
      </c>
      <c r="G473" t="n">
        <v>6</v>
      </c>
      <c r="H473" t="n">
        <v>13</v>
      </c>
      <c r="I473" t="n">
        <v>5</v>
      </c>
      <c r="J473" t="n">
        <v>0</v>
      </c>
      <c r="K473" t="n">
        <v>15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600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inlineStr">
        <is>
          <t>manibozho_gloves</t>
        </is>
      </c>
      <c r="B474" t="n">
        <v>64</v>
      </c>
      <c r="C474" t="n">
        <v>28058</v>
      </c>
      <c r="D474" t="n">
        <v>0</v>
      </c>
      <c r="E474" t="n">
        <v>17</v>
      </c>
      <c r="F474" t="n">
        <v>14</v>
      </c>
      <c r="G474" t="n">
        <v>0</v>
      </c>
      <c r="H474" t="n">
        <v>1</v>
      </c>
      <c r="I474" t="n">
        <v>13</v>
      </c>
      <c r="J474" t="n">
        <v>5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400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</row>
    <row r="475">
      <c r="A475" t="inlineStr">
        <is>
          <t>manibozho_jerkin</t>
        </is>
      </c>
      <c r="B475" t="n">
        <v>32</v>
      </c>
      <c r="C475" t="n">
        <v>27918</v>
      </c>
      <c r="D475" t="n">
        <v>11</v>
      </c>
      <c r="E475" t="n">
        <v>15</v>
      </c>
      <c r="F475" t="n">
        <v>16</v>
      </c>
      <c r="G475" t="n">
        <v>15</v>
      </c>
      <c r="H475" t="n">
        <v>15</v>
      </c>
      <c r="I475" t="n">
        <v>15</v>
      </c>
      <c r="J475" t="n">
        <v>15</v>
      </c>
      <c r="K475" t="n">
        <v>17</v>
      </c>
      <c r="L475" t="n">
        <v>0</v>
      </c>
      <c r="M475" t="n">
        <v>17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400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</row>
    <row r="476">
      <c r="A476" t="inlineStr">
        <is>
          <t>matanca_harness</t>
        </is>
      </c>
      <c r="B476" t="n">
        <v>32</v>
      </c>
      <c r="C476" t="n">
        <v>10255</v>
      </c>
      <c r="D476" t="n">
        <v>15</v>
      </c>
      <c r="E476" t="n">
        <v>15</v>
      </c>
      <c r="F476" t="n">
        <v>15</v>
      </c>
      <c r="G476" t="n">
        <v>0</v>
      </c>
      <c r="H476" t="n">
        <v>0</v>
      </c>
      <c r="I476" t="n">
        <v>0</v>
      </c>
      <c r="J476" t="n">
        <v>0</v>
      </c>
      <c r="K476" t="n">
        <v>22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300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</row>
    <row r="477">
      <c r="A477" t="inlineStr">
        <is>
          <t>matanki_earring</t>
        </is>
      </c>
      <c r="B477" t="n">
        <v>6144</v>
      </c>
      <c r="C477" t="n">
        <v>28468</v>
      </c>
      <c r="D477" t="n">
        <v>0</v>
      </c>
      <c r="E477" t="n">
        <v>0</v>
      </c>
      <c r="F477" t="n">
        <v>0</v>
      </c>
      <c r="G477" t="n">
        <v>3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3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</row>
    <row r="478">
      <c r="A478" t="inlineStr">
        <is>
          <t>meanagh_cape_+1</t>
        </is>
      </c>
      <c r="B478" t="n">
        <v>32768</v>
      </c>
      <c r="C478" t="n">
        <v>28597</v>
      </c>
      <c r="D478" t="n">
        <v>0</v>
      </c>
      <c r="E478" t="n">
        <v>7</v>
      </c>
      <c r="F478" t="n">
        <v>0</v>
      </c>
      <c r="G478" t="n">
        <v>7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</row>
    <row r="479">
      <c r="A479" t="inlineStr">
        <is>
          <t>mekosu._harness</t>
        </is>
      </c>
      <c r="B479" t="n">
        <v>32</v>
      </c>
      <c r="C479" t="n">
        <v>27856</v>
      </c>
      <c r="D479" t="n">
        <v>24</v>
      </c>
      <c r="E479" t="n">
        <v>33</v>
      </c>
      <c r="F479" t="n">
        <v>24</v>
      </c>
      <c r="G479" t="n">
        <v>32</v>
      </c>
      <c r="H479" t="n">
        <v>27</v>
      </c>
      <c r="I479" t="n">
        <v>27</v>
      </c>
      <c r="J479" t="n">
        <v>23</v>
      </c>
      <c r="K479" t="n">
        <v>0</v>
      </c>
      <c r="L479" t="n">
        <v>0</v>
      </c>
      <c r="M479" t="n">
        <v>20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400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</row>
    <row r="480">
      <c r="A480" t="inlineStr">
        <is>
          <t>mes._haubergeon</t>
        </is>
      </c>
      <c r="B480" t="n">
        <v>32</v>
      </c>
      <c r="C480" t="n">
        <v>27886</v>
      </c>
      <c r="D480" t="n">
        <v>29</v>
      </c>
      <c r="E480" t="n">
        <v>29</v>
      </c>
      <c r="F480" t="n">
        <v>29</v>
      </c>
      <c r="G480" t="n">
        <v>6</v>
      </c>
      <c r="H480" t="n">
        <v>6</v>
      </c>
      <c r="I480" t="n">
        <v>6</v>
      </c>
      <c r="J480" t="n">
        <v>6</v>
      </c>
      <c r="K480" t="n">
        <v>30</v>
      </c>
      <c r="L480" t="n">
        <v>0</v>
      </c>
      <c r="M480" t="n">
        <v>30</v>
      </c>
      <c r="N480" t="n">
        <v>0</v>
      </c>
      <c r="O480" t="n">
        <v>0</v>
      </c>
      <c r="P480" t="n">
        <v>2</v>
      </c>
      <c r="Q480" t="n">
        <v>0</v>
      </c>
      <c r="R480" t="n">
        <v>0</v>
      </c>
      <c r="S480" t="n">
        <v>300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</row>
    <row r="481">
      <c r="A481" t="inlineStr">
        <is>
          <t>mesyohi_slacks</t>
        </is>
      </c>
      <c r="B481" t="n">
        <v>128</v>
      </c>
      <c r="C481" t="n">
        <v>28172</v>
      </c>
      <c r="D481" t="n">
        <v>25</v>
      </c>
      <c r="E481" t="n">
        <v>0</v>
      </c>
      <c r="F481" t="n">
        <v>12</v>
      </c>
      <c r="G481" t="n">
        <v>17</v>
      </c>
      <c r="H481" t="n">
        <v>39</v>
      </c>
      <c r="I481" t="n">
        <v>29</v>
      </c>
      <c r="J481" t="n">
        <v>19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500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</row>
    <row r="482">
      <c r="A482" t="inlineStr">
        <is>
          <t>metalsinger_belt</t>
        </is>
      </c>
      <c r="B482" t="n">
        <v>1024</v>
      </c>
      <c r="C482" t="n">
        <v>28449</v>
      </c>
      <c r="D482" t="n">
        <v>13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5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</row>
    <row r="483">
      <c r="A483" t="inlineStr">
        <is>
          <t>miki._breastplate</t>
        </is>
      </c>
      <c r="B483" t="n">
        <v>32</v>
      </c>
      <c r="C483" t="n">
        <v>27917</v>
      </c>
      <c r="D483" t="n">
        <v>15</v>
      </c>
      <c r="E483" t="n">
        <v>13</v>
      </c>
      <c r="F483" t="n">
        <v>15</v>
      </c>
      <c r="G483" t="n">
        <v>13</v>
      </c>
      <c r="H483" t="n">
        <v>13</v>
      </c>
      <c r="I483" t="n">
        <v>13</v>
      </c>
      <c r="J483" t="n">
        <v>13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inlineStr">
        <is>
          <t>miki._cuisses</t>
        </is>
      </c>
      <c r="B484" t="n">
        <v>128</v>
      </c>
      <c r="C484" t="n">
        <v>28198</v>
      </c>
      <c r="D484" t="n">
        <v>14</v>
      </c>
      <c r="E484" t="n">
        <v>0</v>
      </c>
      <c r="F484" t="n">
        <v>14</v>
      </c>
      <c r="G484" t="n">
        <v>11</v>
      </c>
      <c r="H484" t="n">
        <v>17</v>
      </c>
      <c r="I484" t="n">
        <v>8</v>
      </c>
      <c r="J484" t="n">
        <v>6</v>
      </c>
      <c r="K484" t="n">
        <v>20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10</v>
      </c>
      <c r="AC484" t="n">
        <v>0</v>
      </c>
    </row>
    <row r="485">
      <c r="A485" t="inlineStr">
        <is>
          <t>miki._gauntlets</t>
        </is>
      </c>
      <c r="B485" t="n">
        <v>64</v>
      </c>
      <c r="C485" t="n">
        <v>28057</v>
      </c>
      <c r="D485" t="n">
        <v>6</v>
      </c>
      <c r="E485" t="n">
        <v>20</v>
      </c>
      <c r="F485" t="n">
        <v>22</v>
      </c>
      <c r="G485" t="n">
        <v>0</v>
      </c>
      <c r="H485" t="n">
        <v>22</v>
      </c>
      <c r="I485" t="n">
        <v>17</v>
      </c>
      <c r="J485" t="n">
        <v>13</v>
      </c>
      <c r="K485" t="n">
        <v>13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400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</row>
    <row r="486">
      <c r="A486" t="inlineStr">
        <is>
          <t>mikinaak_greaves</t>
        </is>
      </c>
      <c r="B486" t="n">
        <v>256</v>
      </c>
      <c r="C486" t="n">
        <v>28338</v>
      </c>
      <c r="D486" t="n">
        <v>6</v>
      </c>
      <c r="E486" t="n">
        <v>3</v>
      </c>
      <c r="F486" t="n">
        <v>7</v>
      </c>
      <c r="G486" t="n">
        <v>15</v>
      </c>
      <c r="H486" t="n">
        <v>0</v>
      </c>
      <c r="I486" t="n">
        <v>1</v>
      </c>
      <c r="J486" t="n">
        <v>13</v>
      </c>
      <c r="K486" t="n">
        <v>10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400</v>
      </c>
      <c r="T486" t="n">
        <v>0</v>
      </c>
      <c r="U486" t="n">
        <v>0</v>
      </c>
      <c r="V486" t="n">
        <v>0</v>
      </c>
      <c r="W486" t="n">
        <v>5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inlineStr">
        <is>
          <t>mikinaak_helm</t>
        </is>
      </c>
      <c r="B487" t="n">
        <v>16</v>
      </c>
      <c r="C487" t="n">
        <v>27776</v>
      </c>
      <c r="D487" t="n">
        <v>13</v>
      </c>
      <c r="E487" t="n">
        <v>12</v>
      </c>
      <c r="F487" t="n">
        <v>13</v>
      </c>
      <c r="G487" t="n">
        <v>9</v>
      </c>
      <c r="H487" t="n">
        <v>8</v>
      </c>
      <c r="I487" t="n">
        <v>8</v>
      </c>
      <c r="J487" t="n">
        <v>8</v>
      </c>
      <c r="K487" t="n">
        <v>10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700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inlineStr">
        <is>
          <t>mochi._chainmail</t>
        </is>
      </c>
      <c r="B488" t="n">
        <v>32</v>
      </c>
      <c r="C488" t="n">
        <v>26824</v>
      </c>
      <c r="D488" t="n">
        <v>15</v>
      </c>
      <c r="E488" t="n">
        <v>16</v>
      </c>
      <c r="F488" t="n">
        <v>13</v>
      </c>
      <c r="G488" t="n">
        <v>16</v>
      </c>
      <c r="H488" t="n">
        <v>15</v>
      </c>
      <c r="I488" t="n">
        <v>15</v>
      </c>
      <c r="J488" t="n">
        <v>15</v>
      </c>
      <c r="K488" t="n">
        <v>20</v>
      </c>
      <c r="L488" t="n">
        <v>0</v>
      </c>
      <c r="M488" t="n">
        <v>20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400</v>
      </c>
      <c r="T488" t="n">
        <v>0</v>
      </c>
      <c r="U488" t="n">
        <v>0</v>
      </c>
      <c r="V488" t="n">
        <v>6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</row>
    <row r="489">
      <c r="A489" t="inlineStr">
        <is>
          <t>mochi._chainmail_+1</t>
        </is>
      </c>
      <c r="B489" t="n">
        <v>32</v>
      </c>
      <c r="C489" t="n">
        <v>26825</v>
      </c>
      <c r="D489" t="n">
        <v>24</v>
      </c>
      <c r="E489" t="n">
        <v>25</v>
      </c>
      <c r="F489" t="n">
        <v>21</v>
      </c>
      <c r="G489" t="n">
        <v>25</v>
      </c>
      <c r="H489" t="n">
        <v>24</v>
      </c>
      <c r="I489" t="n">
        <v>24</v>
      </c>
      <c r="J489" t="n">
        <v>24</v>
      </c>
      <c r="K489" t="n">
        <v>22</v>
      </c>
      <c r="L489" t="n">
        <v>0</v>
      </c>
      <c r="M489" t="n">
        <v>22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400</v>
      </c>
      <c r="T489" t="n">
        <v>0</v>
      </c>
      <c r="U489" t="n">
        <v>0</v>
      </c>
      <c r="V489" t="n">
        <v>7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</row>
    <row r="490">
      <c r="A490" t="inlineStr">
        <is>
          <t>mochi._chainmail_+2</t>
        </is>
      </c>
      <c r="B490" t="n">
        <v>32</v>
      </c>
      <c r="C490" t="n">
        <v>23142</v>
      </c>
      <c r="D490" t="n">
        <v>29</v>
      </c>
      <c r="E490" t="n">
        <v>30</v>
      </c>
      <c r="F490" t="n">
        <v>26</v>
      </c>
      <c r="G490" t="n">
        <v>30</v>
      </c>
      <c r="H490" t="n">
        <v>29</v>
      </c>
      <c r="I490" t="n">
        <v>29</v>
      </c>
      <c r="J490" t="n">
        <v>29</v>
      </c>
      <c r="K490" t="n">
        <v>72</v>
      </c>
      <c r="L490" t="n">
        <v>0</v>
      </c>
      <c r="M490" t="n">
        <v>41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400</v>
      </c>
      <c r="T490" t="n">
        <v>0</v>
      </c>
      <c r="U490" t="n">
        <v>0</v>
      </c>
      <c r="V490" t="n">
        <v>8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</row>
    <row r="491">
      <c r="A491" t="inlineStr">
        <is>
          <t>mochi._chainmail_+3</t>
        </is>
      </c>
      <c r="B491" t="n">
        <v>32</v>
      </c>
      <c r="C491" t="n">
        <v>23477</v>
      </c>
      <c r="D491" t="n">
        <v>34</v>
      </c>
      <c r="E491" t="n">
        <v>35</v>
      </c>
      <c r="F491" t="n">
        <v>31</v>
      </c>
      <c r="G491" t="n">
        <v>35</v>
      </c>
      <c r="H491" t="n">
        <v>34</v>
      </c>
      <c r="I491" t="n">
        <v>34</v>
      </c>
      <c r="J491" t="n">
        <v>34</v>
      </c>
      <c r="K491" t="n">
        <v>87</v>
      </c>
      <c r="L491" t="n">
        <v>0</v>
      </c>
      <c r="M491" t="n">
        <v>51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400</v>
      </c>
      <c r="T491" t="n">
        <v>0</v>
      </c>
      <c r="U491" t="n">
        <v>0</v>
      </c>
      <c r="V491" t="n">
        <v>9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</row>
    <row r="492">
      <c r="A492" t="inlineStr">
        <is>
          <t>mochi._hakama_+1</t>
        </is>
      </c>
      <c r="B492" t="n">
        <v>128</v>
      </c>
      <c r="C492" t="n">
        <v>27177</v>
      </c>
      <c r="D492" t="n">
        <v>32</v>
      </c>
      <c r="E492" t="n">
        <v>0</v>
      </c>
      <c r="F492" t="n">
        <v>14</v>
      </c>
      <c r="G492" t="n">
        <v>26</v>
      </c>
      <c r="H492" t="n">
        <v>32</v>
      </c>
      <c r="I492" t="n">
        <v>17</v>
      </c>
      <c r="J492" t="n">
        <v>10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600</v>
      </c>
      <c r="T492" t="n">
        <v>0</v>
      </c>
      <c r="U492" t="n">
        <v>0</v>
      </c>
      <c r="V492" t="n">
        <v>8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</row>
    <row r="493">
      <c r="A493" t="inlineStr">
        <is>
          <t>mochi._hakama_+2</t>
        </is>
      </c>
      <c r="B493" t="n">
        <v>128</v>
      </c>
      <c r="C493" t="n">
        <v>23276</v>
      </c>
      <c r="D493" t="n">
        <v>37</v>
      </c>
      <c r="E493" t="n">
        <v>0</v>
      </c>
      <c r="F493" t="n">
        <v>19</v>
      </c>
      <c r="G493" t="n">
        <v>31</v>
      </c>
      <c r="H493" t="n">
        <v>37</v>
      </c>
      <c r="I493" t="n">
        <v>22</v>
      </c>
      <c r="J493" t="n">
        <v>15</v>
      </c>
      <c r="K493" t="n">
        <v>49</v>
      </c>
      <c r="L493" t="n">
        <v>0</v>
      </c>
      <c r="M493" t="n">
        <v>29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600</v>
      </c>
      <c r="T493" t="n">
        <v>0</v>
      </c>
      <c r="U493" t="n">
        <v>0</v>
      </c>
      <c r="V493" t="n">
        <v>9</v>
      </c>
      <c r="W493" t="n">
        <v>0</v>
      </c>
      <c r="X493" t="n">
        <v>0</v>
      </c>
      <c r="Y493" t="n">
        <v>0</v>
      </c>
      <c r="Z493" t="n">
        <v>5</v>
      </c>
      <c r="AA493" t="n">
        <v>0</v>
      </c>
      <c r="AB493" t="n">
        <v>0</v>
      </c>
      <c r="AC493" t="n">
        <v>0</v>
      </c>
    </row>
    <row r="494">
      <c r="A494" t="inlineStr">
        <is>
          <t>mochi._hakama_+3</t>
        </is>
      </c>
      <c r="B494" t="n">
        <v>128</v>
      </c>
      <c r="C494" t="n">
        <v>23611</v>
      </c>
      <c r="D494" t="n">
        <v>42</v>
      </c>
      <c r="E494" t="n">
        <v>10</v>
      </c>
      <c r="F494" t="n">
        <v>24</v>
      </c>
      <c r="G494" t="n">
        <v>37</v>
      </c>
      <c r="H494" t="n">
        <v>42</v>
      </c>
      <c r="I494" t="n">
        <v>27</v>
      </c>
      <c r="J494" t="n">
        <v>21</v>
      </c>
      <c r="K494" t="n">
        <v>64</v>
      </c>
      <c r="L494" t="n">
        <v>0</v>
      </c>
      <c r="M494" t="n">
        <v>39</v>
      </c>
      <c r="N494" t="n">
        <v>6</v>
      </c>
      <c r="O494" t="n">
        <v>0</v>
      </c>
      <c r="P494" t="n">
        <v>0</v>
      </c>
      <c r="Q494" t="n">
        <v>6</v>
      </c>
      <c r="R494" t="n">
        <v>0</v>
      </c>
      <c r="S494" t="n">
        <v>600</v>
      </c>
      <c r="T494" t="n">
        <v>0</v>
      </c>
      <c r="U494" t="n">
        <v>0</v>
      </c>
      <c r="V494" t="n">
        <v>10</v>
      </c>
      <c r="W494" t="n">
        <v>0</v>
      </c>
      <c r="X494" t="n">
        <v>0</v>
      </c>
      <c r="Y494" t="n">
        <v>0</v>
      </c>
      <c r="Z494" t="n">
        <v>10</v>
      </c>
      <c r="AA494" t="n">
        <v>0</v>
      </c>
      <c r="AB494" t="n">
        <v>0</v>
      </c>
      <c r="AC494" t="n">
        <v>0</v>
      </c>
    </row>
    <row r="495">
      <c r="A495" t="inlineStr">
        <is>
          <t>mochi._hatsuburi</t>
        </is>
      </c>
      <c r="B495" t="n">
        <v>16</v>
      </c>
      <c r="C495" t="n">
        <v>26648</v>
      </c>
      <c r="D495" t="n">
        <v>15</v>
      </c>
      <c r="E495" t="n">
        <v>15</v>
      </c>
      <c r="F495" t="n">
        <v>17</v>
      </c>
      <c r="G495" t="n">
        <v>17</v>
      </c>
      <c r="H495" t="n">
        <v>16</v>
      </c>
      <c r="I495" t="n">
        <v>16</v>
      </c>
      <c r="J495" t="n">
        <v>16</v>
      </c>
      <c r="K495" t="n">
        <v>0</v>
      </c>
      <c r="L495" t="n">
        <v>0</v>
      </c>
      <c r="M495" t="n">
        <v>12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700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</row>
    <row r="496">
      <c r="A496" t="inlineStr">
        <is>
          <t>mochi._hatsuburi_+1</t>
        </is>
      </c>
      <c r="B496" t="n">
        <v>16</v>
      </c>
      <c r="C496" t="n">
        <v>26649</v>
      </c>
      <c r="D496" t="n">
        <v>21</v>
      </c>
      <c r="E496" t="n">
        <v>21</v>
      </c>
      <c r="F496" t="n">
        <v>23</v>
      </c>
      <c r="G496" t="n">
        <v>23</v>
      </c>
      <c r="H496" t="n">
        <v>22</v>
      </c>
      <c r="I496" t="n">
        <v>22</v>
      </c>
      <c r="J496" t="n">
        <v>22</v>
      </c>
      <c r="K496" t="n">
        <v>0</v>
      </c>
      <c r="L496" t="n">
        <v>0</v>
      </c>
      <c r="M496" t="n">
        <v>15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800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</row>
    <row r="497">
      <c r="A497" t="inlineStr">
        <is>
          <t>mochi._hatsuburi_+2</t>
        </is>
      </c>
      <c r="B497" t="n">
        <v>16</v>
      </c>
      <c r="C497" t="n">
        <v>23075</v>
      </c>
      <c r="D497" t="n">
        <v>26</v>
      </c>
      <c r="E497" t="n">
        <v>26</v>
      </c>
      <c r="F497" t="n">
        <v>28</v>
      </c>
      <c r="G497" t="n">
        <v>28</v>
      </c>
      <c r="H497" t="n">
        <v>27</v>
      </c>
      <c r="I497" t="n">
        <v>27</v>
      </c>
      <c r="J497" t="n">
        <v>27</v>
      </c>
      <c r="K497" t="n">
        <v>47</v>
      </c>
      <c r="L497" t="n">
        <v>0</v>
      </c>
      <c r="M497" t="n">
        <v>34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800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</row>
    <row r="498">
      <c r="A498" t="inlineStr">
        <is>
          <t>mochi._hatsuburi_+3</t>
        </is>
      </c>
      <c r="B498" t="n">
        <v>16</v>
      </c>
      <c r="C498" t="n">
        <v>23410</v>
      </c>
      <c r="D498" t="n">
        <v>31</v>
      </c>
      <c r="E498" t="n">
        <v>31</v>
      </c>
      <c r="F498" t="n">
        <v>33</v>
      </c>
      <c r="G498" t="n">
        <v>33</v>
      </c>
      <c r="H498" t="n">
        <v>32</v>
      </c>
      <c r="I498" t="n">
        <v>32</v>
      </c>
      <c r="J498" t="n">
        <v>32</v>
      </c>
      <c r="K498" t="n">
        <v>62</v>
      </c>
      <c r="L498" t="n">
        <v>0</v>
      </c>
      <c r="M498" t="n">
        <v>44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800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</row>
    <row r="499">
      <c r="A499" t="inlineStr">
        <is>
          <t>mochi._kyahan_+1</t>
        </is>
      </c>
      <c r="B499" t="n">
        <v>256</v>
      </c>
      <c r="C499" t="n">
        <v>27353</v>
      </c>
      <c r="D499" t="n">
        <v>18</v>
      </c>
      <c r="E499" t="n">
        <v>19</v>
      </c>
      <c r="F499" t="n">
        <v>15</v>
      </c>
      <c r="G499" t="n">
        <v>38</v>
      </c>
      <c r="H499" t="n">
        <v>0</v>
      </c>
      <c r="I499" t="n">
        <v>12</v>
      </c>
      <c r="J499" t="n">
        <v>12</v>
      </c>
      <c r="K499" t="n">
        <v>15</v>
      </c>
      <c r="L499" t="n">
        <v>0</v>
      </c>
      <c r="M499" t="n">
        <v>15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500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</row>
    <row r="500">
      <c r="A500" t="inlineStr">
        <is>
          <t>mochi._kyahan_+2</t>
        </is>
      </c>
      <c r="B500" t="n">
        <v>256</v>
      </c>
      <c r="C500" t="n">
        <v>23343</v>
      </c>
      <c r="D500" t="n">
        <v>23</v>
      </c>
      <c r="E500" t="n">
        <v>24</v>
      </c>
      <c r="F500" t="n">
        <v>20</v>
      </c>
      <c r="G500" t="n">
        <v>43</v>
      </c>
      <c r="H500" t="n">
        <v>0</v>
      </c>
      <c r="I500" t="n">
        <v>17</v>
      </c>
      <c r="J500" t="n">
        <v>34</v>
      </c>
      <c r="K500" t="n">
        <v>61</v>
      </c>
      <c r="L500" t="n">
        <v>0</v>
      </c>
      <c r="M500" t="n">
        <v>33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400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</row>
    <row r="501">
      <c r="A501" t="inlineStr">
        <is>
          <t>mochi._kyahan_+3</t>
        </is>
      </c>
      <c r="B501" t="n">
        <v>256</v>
      </c>
      <c r="C501" t="n">
        <v>23678</v>
      </c>
      <c r="D501" t="n">
        <v>28</v>
      </c>
      <c r="E501" t="n">
        <v>29</v>
      </c>
      <c r="F501" t="n">
        <v>25</v>
      </c>
      <c r="G501" t="n">
        <v>48</v>
      </c>
      <c r="H501" t="n">
        <v>0</v>
      </c>
      <c r="I501" t="n">
        <v>22</v>
      </c>
      <c r="J501" t="n">
        <v>39</v>
      </c>
      <c r="K501" t="n">
        <v>76</v>
      </c>
      <c r="L501" t="n">
        <v>0</v>
      </c>
      <c r="M501" t="n">
        <v>43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400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</row>
    <row r="502">
      <c r="A502" t="inlineStr">
        <is>
          <t>mochizuki_hakama</t>
        </is>
      </c>
      <c r="B502" t="n">
        <v>128</v>
      </c>
      <c r="C502" t="n">
        <v>27176</v>
      </c>
      <c r="D502" t="n">
        <v>20</v>
      </c>
      <c r="E502" t="n">
        <v>0</v>
      </c>
      <c r="F502" t="n">
        <v>8</v>
      </c>
      <c r="G502" t="n">
        <v>18</v>
      </c>
      <c r="H502" t="n">
        <v>20</v>
      </c>
      <c r="I502" t="n">
        <v>11</v>
      </c>
      <c r="J502" t="n">
        <v>6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600</v>
      </c>
      <c r="T502" t="n">
        <v>0</v>
      </c>
      <c r="U502" t="n">
        <v>0</v>
      </c>
      <c r="V502" t="n">
        <v>7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</row>
    <row r="503">
      <c r="A503" t="inlineStr">
        <is>
          <t>mochizuki_kyahan</t>
        </is>
      </c>
      <c r="B503" t="n">
        <v>256</v>
      </c>
      <c r="C503" t="n">
        <v>27352</v>
      </c>
      <c r="D503" t="n">
        <v>12</v>
      </c>
      <c r="E503" t="n">
        <v>13</v>
      </c>
      <c r="F503" t="n">
        <v>11</v>
      </c>
      <c r="G503" t="n">
        <v>25</v>
      </c>
      <c r="H503" t="n">
        <v>0</v>
      </c>
      <c r="I503" t="n">
        <v>8</v>
      </c>
      <c r="J503" t="n">
        <v>18</v>
      </c>
      <c r="K503" t="n">
        <v>12</v>
      </c>
      <c r="L503" t="n">
        <v>0</v>
      </c>
      <c r="M503" t="n">
        <v>12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300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</row>
    <row r="504">
      <c r="A504" t="inlineStr">
        <is>
          <t>mochizuki_tekko</t>
        </is>
      </c>
      <c r="B504" t="n">
        <v>64</v>
      </c>
      <c r="C504" t="n">
        <v>27000</v>
      </c>
      <c r="D504" t="n">
        <v>16</v>
      </c>
      <c r="E504" t="n">
        <v>21</v>
      </c>
      <c r="F504" t="n">
        <v>17</v>
      </c>
      <c r="G504" t="n">
        <v>4</v>
      </c>
      <c r="H504" t="n">
        <v>6</v>
      </c>
      <c r="I504" t="n">
        <v>17</v>
      </c>
      <c r="J504" t="n">
        <v>10</v>
      </c>
      <c r="K504" t="n">
        <v>13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400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</row>
    <row r="505">
      <c r="A505" t="inlineStr">
        <is>
          <t>mochizuki_tekko_+1</t>
        </is>
      </c>
      <c r="B505" t="n">
        <v>64</v>
      </c>
      <c r="C505" t="n">
        <v>27001</v>
      </c>
      <c r="D505" t="n">
        <v>20</v>
      </c>
      <c r="E505" t="n">
        <v>34</v>
      </c>
      <c r="F505" t="n">
        <v>28</v>
      </c>
      <c r="G505" t="n">
        <v>6</v>
      </c>
      <c r="H505" t="n">
        <v>10</v>
      </c>
      <c r="I505" t="n">
        <v>28</v>
      </c>
      <c r="J505" t="n">
        <v>16</v>
      </c>
      <c r="K505" t="n">
        <v>16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500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</row>
    <row r="506">
      <c r="A506" t="inlineStr">
        <is>
          <t>mochizuki_tekko_+2</t>
        </is>
      </c>
      <c r="B506" t="n">
        <v>64</v>
      </c>
      <c r="C506" t="n">
        <v>23209</v>
      </c>
      <c r="D506" t="n">
        <v>25</v>
      </c>
      <c r="E506" t="n">
        <v>39</v>
      </c>
      <c r="F506" t="n">
        <v>32</v>
      </c>
      <c r="G506" t="n">
        <v>11</v>
      </c>
      <c r="H506" t="n">
        <v>15</v>
      </c>
      <c r="I506" t="n">
        <v>33</v>
      </c>
      <c r="J506" t="n">
        <v>21</v>
      </c>
      <c r="K506" t="n">
        <v>64</v>
      </c>
      <c r="L506" t="n">
        <v>0</v>
      </c>
      <c r="M506" t="n">
        <v>28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500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</row>
    <row r="507">
      <c r="A507" t="inlineStr">
        <is>
          <t>mochizuki_tekko_+3</t>
        </is>
      </c>
      <c r="B507" t="n">
        <v>64</v>
      </c>
      <c r="C507" t="n">
        <v>23544</v>
      </c>
      <c r="D507" t="n">
        <v>30</v>
      </c>
      <c r="E507" t="n">
        <v>44</v>
      </c>
      <c r="F507" t="n">
        <v>37</v>
      </c>
      <c r="G507" t="n">
        <v>16</v>
      </c>
      <c r="H507" t="n">
        <v>20</v>
      </c>
      <c r="I507" t="n">
        <v>38</v>
      </c>
      <c r="J507" t="n">
        <v>26</v>
      </c>
      <c r="K507" t="n">
        <v>79</v>
      </c>
      <c r="L507" t="n">
        <v>0</v>
      </c>
      <c r="M507" t="n">
        <v>38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500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</row>
    <row r="508">
      <c r="A508" t="inlineStr">
        <is>
          <t>moondoe_mantle_+1</t>
        </is>
      </c>
      <c r="B508" t="n">
        <v>32768</v>
      </c>
      <c r="C508" t="n">
        <v>28595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12</v>
      </c>
      <c r="L508" t="n">
        <v>0</v>
      </c>
      <c r="M508" t="n">
        <v>12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</row>
    <row r="509">
      <c r="A509" t="inlineStr">
        <is>
          <t>moonlight_nodowa</t>
        </is>
      </c>
      <c r="B509" t="n">
        <v>512</v>
      </c>
      <c r="C509" t="n">
        <v>26035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25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</row>
    <row r="510">
      <c r="A510" t="inlineStr">
        <is>
          <t>moonlight_ring</t>
        </is>
      </c>
      <c r="B510" t="n">
        <v>24576</v>
      </c>
      <c r="C510" t="n">
        <v>26190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8</v>
      </c>
      <c r="L510" t="n">
        <v>0</v>
      </c>
      <c r="M510" t="n">
        <v>8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5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</row>
    <row r="511">
      <c r="A511" t="inlineStr">
        <is>
          <t>mouflon_ring</t>
        </is>
      </c>
      <c r="B511" t="n">
        <v>24576</v>
      </c>
      <c r="C511" t="n">
        <v>28533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6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</row>
    <row r="512">
      <c r="A512" t="inlineStr">
        <is>
          <t>mpacas_boots</t>
        </is>
      </c>
      <c r="B512" t="n">
        <v>256</v>
      </c>
      <c r="C512" t="n">
        <v>23786</v>
      </c>
      <c r="D512" t="n">
        <v>28</v>
      </c>
      <c r="E512" t="n">
        <v>32</v>
      </c>
      <c r="F512" t="n">
        <v>23</v>
      </c>
      <c r="G512" t="n">
        <v>34</v>
      </c>
      <c r="H512" t="n">
        <v>0</v>
      </c>
      <c r="I512" t="n">
        <v>11</v>
      </c>
      <c r="J512" t="n">
        <v>28</v>
      </c>
      <c r="K512" t="n">
        <v>40</v>
      </c>
      <c r="L512" t="n">
        <v>0</v>
      </c>
      <c r="M512" t="n">
        <v>40</v>
      </c>
      <c r="N512" t="n">
        <v>3</v>
      </c>
      <c r="O512" t="n">
        <v>0</v>
      </c>
      <c r="P512" t="n">
        <v>0</v>
      </c>
      <c r="Q512" t="n">
        <v>3</v>
      </c>
      <c r="R512" t="n">
        <v>0</v>
      </c>
      <c r="S512" t="n">
        <v>300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</row>
    <row r="513">
      <c r="A513" t="inlineStr">
        <is>
          <t>mpacas_cap</t>
        </is>
      </c>
      <c r="B513" t="n">
        <v>16</v>
      </c>
      <c r="C513" t="n">
        <v>23758</v>
      </c>
      <c r="D513" t="n">
        <v>33</v>
      </c>
      <c r="E513" t="n">
        <v>30</v>
      </c>
      <c r="F513" t="n">
        <v>26</v>
      </c>
      <c r="G513" t="n">
        <v>24</v>
      </c>
      <c r="H513" t="n">
        <v>20</v>
      </c>
      <c r="I513" t="n">
        <v>17</v>
      </c>
      <c r="J513" t="n">
        <v>20</v>
      </c>
      <c r="K513" t="n">
        <v>40</v>
      </c>
      <c r="L513" t="n">
        <v>0</v>
      </c>
      <c r="M513" t="n">
        <v>40</v>
      </c>
      <c r="N513" t="n">
        <v>4</v>
      </c>
      <c r="O513" t="n">
        <v>0</v>
      </c>
      <c r="P513" t="n">
        <v>0</v>
      </c>
      <c r="Q513" t="n">
        <v>3</v>
      </c>
      <c r="R513" t="n">
        <v>0</v>
      </c>
      <c r="S513" t="n">
        <v>600</v>
      </c>
      <c r="T513" t="n">
        <v>0</v>
      </c>
      <c r="U513" t="n">
        <v>0</v>
      </c>
      <c r="V513" t="n">
        <v>0</v>
      </c>
      <c r="W513" t="n">
        <v>0</v>
      </c>
      <c r="X513" t="n">
        <v>200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inlineStr">
        <is>
          <t>mpacas_doublet</t>
        </is>
      </c>
      <c r="B514" t="n">
        <v>32</v>
      </c>
      <c r="C514" t="n">
        <v>23765</v>
      </c>
      <c r="D514" t="n">
        <v>39</v>
      </c>
      <c r="E514" t="n">
        <v>37</v>
      </c>
      <c r="F514" t="n">
        <v>34</v>
      </c>
      <c r="G514" t="n">
        <v>28</v>
      </c>
      <c r="H514" t="n">
        <v>28</v>
      </c>
      <c r="I514" t="n">
        <v>25</v>
      </c>
      <c r="J514" t="n">
        <v>28</v>
      </c>
      <c r="K514" t="n">
        <v>40</v>
      </c>
      <c r="L514" t="n">
        <v>0</v>
      </c>
      <c r="M514" t="n">
        <v>40</v>
      </c>
      <c r="N514" t="n">
        <v>7</v>
      </c>
      <c r="O514" t="n">
        <v>0</v>
      </c>
      <c r="P514" t="n">
        <v>0</v>
      </c>
      <c r="Q514" t="n">
        <v>4</v>
      </c>
      <c r="R514" t="n">
        <v>0</v>
      </c>
      <c r="S514" t="n">
        <v>400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inlineStr">
        <is>
          <t>mpacas_gloves</t>
        </is>
      </c>
      <c r="B515" t="n">
        <v>64</v>
      </c>
      <c r="C515" t="n">
        <v>23772</v>
      </c>
      <c r="D515" t="n">
        <v>20</v>
      </c>
      <c r="E515" t="n">
        <v>44</v>
      </c>
      <c r="F515" t="n">
        <v>38</v>
      </c>
      <c r="G515" t="n">
        <v>16</v>
      </c>
      <c r="H515" t="n">
        <v>15</v>
      </c>
      <c r="I515" t="n">
        <v>29</v>
      </c>
      <c r="J515" t="n">
        <v>25</v>
      </c>
      <c r="K515" t="n">
        <v>40</v>
      </c>
      <c r="L515" t="n">
        <v>0</v>
      </c>
      <c r="M515" t="n">
        <v>40</v>
      </c>
      <c r="N515" t="n">
        <v>5</v>
      </c>
      <c r="O515" t="n">
        <v>0</v>
      </c>
      <c r="P515" t="n">
        <v>0</v>
      </c>
      <c r="Q515" t="n">
        <v>3</v>
      </c>
      <c r="R515" t="n">
        <v>0</v>
      </c>
      <c r="S515" t="n">
        <v>400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</row>
    <row r="516">
      <c r="A516" t="inlineStr">
        <is>
          <t>mpacas_hose</t>
        </is>
      </c>
      <c r="B516" t="n">
        <v>128</v>
      </c>
      <c r="C516" t="n">
        <v>23779</v>
      </c>
      <c r="D516" t="n">
        <v>49</v>
      </c>
      <c r="E516" t="n">
        <v>0</v>
      </c>
      <c r="F516" t="n">
        <v>32</v>
      </c>
      <c r="G516" t="n">
        <v>25</v>
      </c>
      <c r="H516" t="n">
        <v>32</v>
      </c>
      <c r="I516" t="n">
        <v>19</v>
      </c>
      <c r="J516" t="n">
        <v>19</v>
      </c>
      <c r="K516" t="n">
        <v>40</v>
      </c>
      <c r="L516" t="n">
        <v>0</v>
      </c>
      <c r="M516" t="n">
        <v>40</v>
      </c>
      <c r="N516" t="n">
        <v>6</v>
      </c>
      <c r="O516" t="n">
        <v>0</v>
      </c>
      <c r="P516" t="n">
        <v>0</v>
      </c>
      <c r="Q516" t="n">
        <v>4</v>
      </c>
      <c r="R516" t="n">
        <v>0</v>
      </c>
      <c r="S516" t="n">
        <v>900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</row>
    <row r="517">
      <c r="A517" t="inlineStr">
        <is>
          <t>mummu_bonnet</t>
        </is>
      </c>
      <c r="B517" t="n">
        <v>16</v>
      </c>
      <c r="C517" t="n">
        <v>25581</v>
      </c>
      <c r="D517" t="n">
        <v>20</v>
      </c>
      <c r="E517" t="n">
        <v>28</v>
      </c>
      <c r="F517" t="n">
        <v>16</v>
      </c>
      <c r="G517" t="n">
        <v>23</v>
      </c>
      <c r="H517" t="n">
        <v>15</v>
      </c>
      <c r="I517" t="n">
        <v>14</v>
      </c>
      <c r="J517" t="n">
        <v>17</v>
      </c>
      <c r="K517" t="n">
        <v>0</v>
      </c>
      <c r="L517" t="n">
        <v>0</v>
      </c>
      <c r="M517" t="n">
        <v>26</v>
      </c>
      <c r="N517" t="n">
        <v>2</v>
      </c>
      <c r="O517" t="n">
        <v>0</v>
      </c>
      <c r="P517" t="n">
        <v>0</v>
      </c>
      <c r="Q517" t="n">
        <v>0</v>
      </c>
      <c r="R517" t="n">
        <v>0</v>
      </c>
      <c r="S517" t="n">
        <v>800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</row>
    <row r="518">
      <c r="A518" t="inlineStr">
        <is>
          <t>mummu_bonnet_+1</t>
        </is>
      </c>
      <c r="B518" t="n">
        <v>16</v>
      </c>
      <c r="C518" t="n">
        <v>25582</v>
      </c>
      <c r="D518" t="n">
        <v>20</v>
      </c>
      <c r="E518" t="n">
        <v>35</v>
      </c>
      <c r="F518" t="n">
        <v>16</v>
      </c>
      <c r="G518" t="n">
        <v>30</v>
      </c>
      <c r="H518" t="n">
        <v>15</v>
      </c>
      <c r="I518" t="n">
        <v>14</v>
      </c>
      <c r="J518" t="n">
        <v>17</v>
      </c>
      <c r="K518" t="n">
        <v>0</v>
      </c>
      <c r="L518" t="n">
        <v>0</v>
      </c>
      <c r="M518" t="n">
        <v>38</v>
      </c>
      <c r="N518" t="n">
        <v>4</v>
      </c>
      <c r="O518" t="n">
        <v>0</v>
      </c>
      <c r="P518" t="n">
        <v>0</v>
      </c>
      <c r="Q518" t="n">
        <v>0</v>
      </c>
      <c r="R518" t="n">
        <v>0</v>
      </c>
      <c r="S518" t="n">
        <v>800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inlineStr">
        <is>
          <t>mummu_bonnet_+2</t>
        </is>
      </c>
      <c r="B519" t="n">
        <v>16</v>
      </c>
      <c r="C519" t="n">
        <v>25570</v>
      </c>
      <c r="D519" t="n">
        <v>20</v>
      </c>
      <c r="E519" t="n">
        <v>39</v>
      </c>
      <c r="F519" t="n">
        <v>16</v>
      </c>
      <c r="G519" t="n">
        <v>34</v>
      </c>
      <c r="H519" t="n">
        <v>15</v>
      </c>
      <c r="I519" t="n">
        <v>14</v>
      </c>
      <c r="J519" t="n">
        <v>17</v>
      </c>
      <c r="K519" t="n">
        <v>0</v>
      </c>
      <c r="L519" t="n">
        <v>0</v>
      </c>
      <c r="M519" t="n">
        <v>44</v>
      </c>
      <c r="N519" t="n">
        <v>5</v>
      </c>
      <c r="O519" t="n">
        <v>0</v>
      </c>
      <c r="P519" t="n">
        <v>0</v>
      </c>
      <c r="Q519" t="n">
        <v>0</v>
      </c>
      <c r="R519" t="n">
        <v>0</v>
      </c>
      <c r="S519" t="n">
        <v>800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inlineStr">
        <is>
          <t>mummu_gamash._+1</t>
        </is>
      </c>
      <c r="B520" t="n">
        <v>256</v>
      </c>
      <c r="C520" t="n">
        <v>25943</v>
      </c>
      <c r="D520" t="n">
        <v>16</v>
      </c>
      <c r="E520" t="n">
        <v>33</v>
      </c>
      <c r="F520" t="n">
        <v>10</v>
      </c>
      <c r="G520" t="n">
        <v>53</v>
      </c>
      <c r="H520" t="n">
        <v>0</v>
      </c>
      <c r="I520" t="n">
        <v>11</v>
      </c>
      <c r="J520" t="n">
        <v>29</v>
      </c>
      <c r="K520" t="n">
        <v>0</v>
      </c>
      <c r="L520" t="n">
        <v>0</v>
      </c>
      <c r="M520" t="n">
        <v>36</v>
      </c>
      <c r="N520" t="n">
        <v>4</v>
      </c>
      <c r="O520" t="n">
        <v>0</v>
      </c>
      <c r="P520" t="n">
        <v>0</v>
      </c>
      <c r="Q520" t="n">
        <v>0</v>
      </c>
      <c r="R520" t="n">
        <v>0</v>
      </c>
      <c r="S520" t="n">
        <v>400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</row>
    <row r="521">
      <c r="A521" t="inlineStr">
        <is>
          <t>mummu_gamashes</t>
        </is>
      </c>
      <c r="B521" t="n">
        <v>256</v>
      </c>
      <c r="C521" t="n">
        <v>25942</v>
      </c>
      <c r="D521" t="n">
        <v>16</v>
      </c>
      <c r="E521" t="n">
        <v>26</v>
      </c>
      <c r="F521" t="n">
        <v>10</v>
      </c>
      <c r="G521" t="n">
        <v>43</v>
      </c>
      <c r="H521" t="n">
        <v>0</v>
      </c>
      <c r="I521" t="n">
        <v>11</v>
      </c>
      <c r="J521" t="n">
        <v>29</v>
      </c>
      <c r="K521" t="n">
        <v>0</v>
      </c>
      <c r="L521" t="n">
        <v>0</v>
      </c>
      <c r="M521" t="n">
        <v>24</v>
      </c>
      <c r="N521" t="n">
        <v>2</v>
      </c>
      <c r="O521" t="n">
        <v>0</v>
      </c>
      <c r="P521" t="n">
        <v>0</v>
      </c>
      <c r="Q521" t="n">
        <v>0</v>
      </c>
      <c r="R521" t="n">
        <v>0</v>
      </c>
      <c r="S521" t="n">
        <v>400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</row>
    <row r="522">
      <c r="A522" t="inlineStr">
        <is>
          <t>mummu_jacket</t>
        </is>
      </c>
      <c r="B522" t="n">
        <v>32</v>
      </c>
      <c r="C522" t="n">
        <v>25781</v>
      </c>
      <c r="D522" t="n">
        <v>28</v>
      </c>
      <c r="E522" t="n">
        <v>37</v>
      </c>
      <c r="F522" t="n">
        <v>24</v>
      </c>
      <c r="G522" t="n">
        <v>33</v>
      </c>
      <c r="H522" t="n">
        <v>21</v>
      </c>
      <c r="I522" t="n">
        <v>20</v>
      </c>
      <c r="J522" t="n">
        <v>24</v>
      </c>
      <c r="K522" t="n">
        <v>0</v>
      </c>
      <c r="L522" t="n">
        <v>0</v>
      </c>
      <c r="M522" t="n">
        <v>28</v>
      </c>
      <c r="N522" t="n">
        <v>5</v>
      </c>
      <c r="O522" t="n">
        <v>0</v>
      </c>
      <c r="P522" t="n">
        <v>0</v>
      </c>
      <c r="Q522" t="n">
        <v>0</v>
      </c>
      <c r="R522" t="n">
        <v>0</v>
      </c>
      <c r="S522" t="n">
        <v>400</v>
      </c>
      <c r="T522" t="n">
        <v>0</v>
      </c>
      <c r="U522" t="n">
        <v>0</v>
      </c>
      <c r="V522" t="n">
        <v>0</v>
      </c>
      <c r="W522" t="n">
        <v>3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</row>
    <row r="523">
      <c r="A523" t="inlineStr">
        <is>
          <t>mummu_jacket_+1</t>
        </is>
      </c>
      <c r="B523" t="n">
        <v>32</v>
      </c>
      <c r="C523" t="n">
        <v>25782</v>
      </c>
      <c r="D523" t="n">
        <v>28</v>
      </c>
      <c r="E523" t="n">
        <v>44</v>
      </c>
      <c r="F523" t="n">
        <v>24</v>
      </c>
      <c r="G523" t="n">
        <v>40</v>
      </c>
      <c r="H523" t="n">
        <v>21</v>
      </c>
      <c r="I523" t="n">
        <v>20</v>
      </c>
      <c r="J523" t="n">
        <v>24</v>
      </c>
      <c r="K523" t="n">
        <v>0</v>
      </c>
      <c r="L523" t="n">
        <v>0</v>
      </c>
      <c r="M523" t="n">
        <v>40</v>
      </c>
      <c r="N523" t="n">
        <v>8</v>
      </c>
      <c r="O523" t="n">
        <v>0</v>
      </c>
      <c r="P523" t="n">
        <v>0</v>
      </c>
      <c r="Q523" t="n">
        <v>0</v>
      </c>
      <c r="R523" t="n">
        <v>0</v>
      </c>
      <c r="S523" t="n">
        <v>400</v>
      </c>
      <c r="T523" t="n">
        <v>0</v>
      </c>
      <c r="U523" t="n">
        <v>0</v>
      </c>
      <c r="V523" t="n">
        <v>0</v>
      </c>
      <c r="W523" t="n">
        <v>5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</row>
    <row r="524">
      <c r="A524" t="inlineStr">
        <is>
          <t>mummu_kecks</t>
        </is>
      </c>
      <c r="B524" t="n">
        <v>128</v>
      </c>
      <c r="C524" t="n">
        <v>25875</v>
      </c>
      <c r="D524" t="n">
        <v>33</v>
      </c>
      <c r="E524" t="n">
        <v>0</v>
      </c>
      <c r="F524" t="n">
        <v>16</v>
      </c>
      <c r="G524" t="n">
        <v>34</v>
      </c>
      <c r="H524" t="n">
        <v>29</v>
      </c>
      <c r="I524" t="n">
        <v>15</v>
      </c>
      <c r="J524" t="n">
        <v>12</v>
      </c>
      <c r="K524" t="n">
        <v>0</v>
      </c>
      <c r="L524" t="n">
        <v>0</v>
      </c>
      <c r="M524" t="n">
        <v>27</v>
      </c>
      <c r="N524" t="n">
        <v>4</v>
      </c>
      <c r="O524" t="n">
        <v>0</v>
      </c>
      <c r="P524" t="n">
        <v>0</v>
      </c>
      <c r="Q524" t="n">
        <v>0</v>
      </c>
      <c r="R524" t="n">
        <v>0</v>
      </c>
      <c r="S524" t="n">
        <v>600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</row>
    <row r="525">
      <c r="A525" t="inlineStr">
        <is>
          <t>mummu_kecks_+1</t>
        </is>
      </c>
      <c r="B525" t="n">
        <v>128</v>
      </c>
      <c r="C525" t="n">
        <v>25876</v>
      </c>
      <c r="D525" t="n">
        <v>33</v>
      </c>
      <c r="E525" t="n">
        <v>7</v>
      </c>
      <c r="F525" t="n">
        <v>16</v>
      </c>
      <c r="G525" t="n">
        <v>41</v>
      </c>
      <c r="H525" t="n">
        <v>29</v>
      </c>
      <c r="I525" t="n">
        <v>15</v>
      </c>
      <c r="J525" t="n">
        <v>12</v>
      </c>
      <c r="K525" t="n">
        <v>0</v>
      </c>
      <c r="L525" t="n">
        <v>0</v>
      </c>
      <c r="M525" t="n">
        <v>39</v>
      </c>
      <c r="N525" t="n">
        <v>6</v>
      </c>
      <c r="O525" t="n">
        <v>0</v>
      </c>
      <c r="P525" t="n">
        <v>0</v>
      </c>
      <c r="Q525" t="n">
        <v>0</v>
      </c>
      <c r="R525" t="n">
        <v>0</v>
      </c>
      <c r="S525" t="n">
        <v>600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</row>
    <row r="526">
      <c r="A526" t="inlineStr">
        <is>
          <t>mummu_wrists</t>
        </is>
      </c>
      <c r="B526" t="n">
        <v>64</v>
      </c>
      <c r="C526" t="n">
        <v>25820</v>
      </c>
      <c r="D526" t="n">
        <v>16</v>
      </c>
      <c r="E526" t="n">
        <v>42</v>
      </c>
      <c r="F526" t="n">
        <v>30</v>
      </c>
      <c r="G526" t="n">
        <v>11</v>
      </c>
      <c r="H526" t="n">
        <v>14</v>
      </c>
      <c r="I526" t="n">
        <v>26</v>
      </c>
      <c r="J526" t="n">
        <v>21</v>
      </c>
      <c r="K526" t="n">
        <v>0</v>
      </c>
      <c r="L526" t="n">
        <v>0</v>
      </c>
      <c r="M526" t="n">
        <v>25</v>
      </c>
      <c r="N526" t="n">
        <v>3</v>
      </c>
      <c r="O526" t="n">
        <v>0</v>
      </c>
      <c r="P526" t="n">
        <v>3</v>
      </c>
      <c r="Q526" t="n">
        <v>0</v>
      </c>
      <c r="R526" t="n">
        <v>0</v>
      </c>
      <c r="S526" t="n">
        <v>500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</row>
    <row r="527">
      <c r="A527" t="inlineStr">
        <is>
          <t>mummu_wrists_+1</t>
        </is>
      </c>
      <c r="B527" t="n">
        <v>64</v>
      </c>
      <c r="C527" t="n">
        <v>25821</v>
      </c>
      <c r="D527" t="n">
        <v>16</v>
      </c>
      <c r="E527" t="n">
        <v>49</v>
      </c>
      <c r="F527" t="n">
        <v>30</v>
      </c>
      <c r="G527" t="n">
        <v>18</v>
      </c>
      <c r="H527" t="n">
        <v>14</v>
      </c>
      <c r="I527" t="n">
        <v>26</v>
      </c>
      <c r="J527" t="n">
        <v>21</v>
      </c>
      <c r="K527" t="n">
        <v>0</v>
      </c>
      <c r="L527" t="n">
        <v>0</v>
      </c>
      <c r="M527" t="n">
        <v>37</v>
      </c>
      <c r="N527" t="n">
        <v>5</v>
      </c>
      <c r="O527" t="n">
        <v>0</v>
      </c>
      <c r="P527" t="n">
        <v>5</v>
      </c>
      <c r="Q527" t="n">
        <v>0</v>
      </c>
      <c r="R527" t="n">
        <v>0</v>
      </c>
      <c r="S527" t="n">
        <v>500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inlineStr">
        <is>
          <t>murzim_corazza</t>
        </is>
      </c>
      <c r="B528" t="n">
        <v>32</v>
      </c>
      <c r="C528" t="n">
        <v>10278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15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400</v>
      </c>
      <c r="T528" t="n">
        <v>0</v>
      </c>
      <c r="U528" t="n">
        <v>0</v>
      </c>
      <c r="V528" t="n">
        <v>0</v>
      </c>
      <c r="W528" t="n">
        <v>6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inlineStr">
        <is>
          <t>murzim_gambieras</t>
        </is>
      </c>
      <c r="B529" t="n">
        <v>256</v>
      </c>
      <c r="C529" t="n">
        <v>10369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12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300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</row>
    <row r="530">
      <c r="A530" t="inlineStr">
        <is>
          <t>murzim_manopolas</t>
        </is>
      </c>
      <c r="B530" t="n">
        <v>64</v>
      </c>
      <c r="C530" t="n">
        <v>10322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5</v>
      </c>
      <c r="L530" t="n">
        <v>0</v>
      </c>
      <c r="M530" t="n">
        <v>0</v>
      </c>
      <c r="N530" t="n">
        <v>0</v>
      </c>
      <c r="O530" t="n">
        <v>2</v>
      </c>
      <c r="P530" t="n">
        <v>0</v>
      </c>
      <c r="Q530" t="n">
        <v>0</v>
      </c>
      <c r="R530" t="n">
        <v>0</v>
      </c>
      <c r="S530" t="n">
        <v>400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inlineStr">
        <is>
          <t>murzim_zucchetto</t>
        </is>
      </c>
      <c r="B531" t="n">
        <v>16</v>
      </c>
      <c r="C531" t="n">
        <v>10440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500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</row>
    <row r="532">
      <c r="A532" t="inlineStr">
        <is>
          <t>myrmex_mittens</t>
        </is>
      </c>
      <c r="B532" t="n">
        <v>64</v>
      </c>
      <c r="C532" t="n">
        <v>10300</v>
      </c>
      <c r="D532" t="n">
        <v>10</v>
      </c>
      <c r="E532" t="n">
        <v>7</v>
      </c>
      <c r="F532" t="n">
        <v>0</v>
      </c>
      <c r="G532" t="n">
        <v>7</v>
      </c>
      <c r="H532" t="n">
        <v>0</v>
      </c>
      <c r="I532" t="n">
        <v>0</v>
      </c>
      <c r="J532" t="n">
        <v>0</v>
      </c>
      <c r="K532" t="n">
        <v>10</v>
      </c>
      <c r="L532" t="n">
        <v>0</v>
      </c>
      <c r="M532" t="n">
        <v>10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inlineStr">
        <is>
          <t>nahtirah_trousers</t>
        </is>
      </c>
      <c r="B533" t="n">
        <v>128</v>
      </c>
      <c r="C533" t="n">
        <v>28197</v>
      </c>
      <c r="D533" t="n">
        <v>29</v>
      </c>
      <c r="E533" t="n">
        <v>0</v>
      </c>
      <c r="F533" t="n">
        <v>16</v>
      </c>
      <c r="G533" t="n">
        <v>25</v>
      </c>
      <c r="H533" t="n">
        <v>30</v>
      </c>
      <c r="I533" t="n">
        <v>17</v>
      </c>
      <c r="J533" t="n">
        <v>11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inlineStr">
        <is>
          <t>nefarious_collar</t>
        </is>
      </c>
      <c r="B534" t="n">
        <v>512</v>
      </c>
      <c r="C534" t="n">
        <v>10958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3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inlineStr">
        <is>
          <t>nefarious_collar_+1</t>
        </is>
      </c>
      <c r="B535" t="n">
        <v>512</v>
      </c>
      <c r="C535" t="n">
        <v>28365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3</v>
      </c>
      <c r="N535" t="n">
        <v>3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inlineStr">
        <is>
          <t>nemetona_cap</t>
        </is>
      </c>
      <c r="B536" t="n">
        <v>16</v>
      </c>
      <c r="C536" t="n">
        <v>10445</v>
      </c>
      <c r="D536" t="n">
        <v>13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7</v>
      </c>
      <c r="L536" t="n">
        <v>0</v>
      </c>
      <c r="M536" t="n">
        <v>7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600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inlineStr">
        <is>
          <t>neritic_earring</t>
        </is>
      </c>
      <c r="B537" t="n">
        <v>6144</v>
      </c>
      <c r="C537" t="n">
        <v>28493</v>
      </c>
      <c r="D537" t="n">
        <v>0</v>
      </c>
      <c r="E537" t="n">
        <v>0</v>
      </c>
      <c r="F537" t="n">
        <v>0</v>
      </c>
      <c r="G537" t="n">
        <v>2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4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</row>
    <row r="538">
      <c r="A538" t="inlineStr">
        <is>
          <t>nguruve_ring</t>
        </is>
      </c>
      <c r="B538" t="n">
        <v>24576</v>
      </c>
      <c r="C538" t="n">
        <v>28566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</row>
    <row r="539">
      <c r="A539" t="inlineStr">
        <is>
          <t>nilas_gloves</t>
        </is>
      </c>
      <c r="B539" t="n">
        <v>64</v>
      </c>
      <c r="C539" t="n">
        <v>28008</v>
      </c>
      <c r="D539" t="n">
        <v>11</v>
      </c>
      <c r="E539" t="n">
        <v>35</v>
      </c>
      <c r="F539" t="n">
        <v>32</v>
      </c>
      <c r="G539" t="n">
        <v>5</v>
      </c>
      <c r="H539" t="n">
        <v>0</v>
      </c>
      <c r="I539" t="n">
        <v>30</v>
      </c>
      <c r="J539" t="n">
        <v>17</v>
      </c>
      <c r="K539" t="n">
        <v>15</v>
      </c>
      <c r="L539" t="n">
        <v>0</v>
      </c>
      <c r="M539" t="n">
        <v>0</v>
      </c>
      <c r="N539" t="n">
        <v>0</v>
      </c>
      <c r="O539" t="n">
        <v>0</v>
      </c>
      <c r="P539" t="n">
        <v>2</v>
      </c>
      <c r="Q539" t="n">
        <v>0</v>
      </c>
      <c r="R539" t="n">
        <v>0</v>
      </c>
      <c r="S539" t="n">
        <v>500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</row>
    <row r="540">
      <c r="A540" t="inlineStr">
        <is>
          <t>ninja_nodowa</t>
        </is>
      </c>
      <c r="B540" t="n">
        <v>512</v>
      </c>
      <c r="C540" t="n">
        <v>25489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15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3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inlineStr">
        <is>
          <t>ninja_nodowa_+1</t>
        </is>
      </c>
      <c r="B541" t="n">
        <v>512</v>
      </c>
      <c r="C541" t="n">
        <v>25490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20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5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</row>
    <row r="542">
      <c r="A542" t="inlineStr">
        <is>
          <t>ninja_nodowa_+2</t>
        </is>
      </c>
      <c r="B542" t="n">
        <v>512</v>
      </c>
      <c r="C542" t="n">
        <v>25491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25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7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</row>
    <row r="543">
      <c r="A543" t="inlineStr">
        <is>
          <t>nomkahpa_mittens</t>
        </is>
      </c>
      <c r="B543" t="n">
        <v>64</v>
      </c>
      <c r="C543" t="n">
        <v>10505</v>
      </c>
      <c r="D543" t="n">
        <v>5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3</v>
      </c>
      <c r="Q543" t="n">
        <v>0</v>
      </c>
      <c r="R543" t="n">
        <v>0</v>
      </c>
      <c r="S543" t="n">
        <v>300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</row>
    <row r="544">
      <c r="A544" t="inlineStr">
        <is>
          <t>null_masque</t>
        </is>
      </c>
      <c r="B544" t="n">
        <v>16</v>
      </c>
      <c r="C544" t="n">
        <v>24270</v>
      </c>
      <c r="D544" t="n">
        <v>28</v>
      </c>
      <c r="E544" t="n">
        <v>28</v>
      </c>
      <c r="F544" t="n">
        <v>50</v>
      </c>
      <c r="G544" t="n">
        <v>28</v>
      </c>
      <c r="H544" t="n">
        <v>28</v>
      </c>
      <c r="I544" t="n">
        <v>50</v>
      </c>
      <c r="J544" t="n">
        <v>28</v>
      </c>
      <c r="K544" t="n">
        <v>0</v>
      </c>
      <c r="L544" t="n">
        <v>0</v>
      </c>
      <c r="M544" t="n">
        <v>50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1000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</row>
    <row r="545">
      <c r="A545" t="inlineStr">
        <is>
          <t>nyame_flanchard</t>
        </is>
      </c>
      <c r="B545" t="n">
        <v>128</v>
      </c>
      <c r="C545" t="n">
        <v>23782</v>
      </c>
      <c r="D545" t="n">
        <v>43</v>
      </c>
      <c r="E545" t="n">
        <v>0</v>
      </c>
      <c r="F545" t="n">
        <v>30</v>
      </c>
      <c r="G545" t="n">
        <v>34</v>
      </c>
      <c r="H545" t="n">
        <v>44</v>
      </c>
      <c r="I545" t="n">
        <v>32</v>
      </c>
      <c r="J545" t="n">
        <v>24</v>
      </c>
      <c r="K545" t="n">
        <v>30</v>
      </c>
      <c r="L545" t="n">
        <v>0</v>
      </c>
      <c r="M545" t="n">
        <v>40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500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</row>
    <row r="546">
      <c r="A546" t="inlineStr">
        <is>
          <t>nyame_gauntlets</t>
        </is>
      </c>
      <c r="B546" t="n">
        <v>64</v>
      </c>
      <c r="C546" t="n">
        <v>23775</v>
      </c>
      <c r="D546" t="n">
        <v>17</v>
      </c>
      <c r="E546" t="n">
        <v>42</v>
      </c>
      <c r="F546" t="n">
        <v>39</v>
      </c>
      <c r="G546" t="n">
        <v>12</v>
      </c>
      <c r="H546" t="n">
        <v>28</v>
      </c>
      <c r="I546" t="n">
        <v>40</v>
      </c>
      <c r="J546" t="n">
        <v>24</v>
      </c>
      <c r="K546" t="n">
        <v>30</v>
      </c>
      <c r="L546" t="n">
        <v>0</v>
      </c>
      <c r="M546" t="n">
        <v>40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300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</row>
    <row r="547">
      <c r="A547" t="inlineStr">
        <is>
          <t>nyame_helm</t>
        </is>
      </c>
      <c r="B547" t="n">
        <v>16</v>
      </c>
      <c r="C547" t="n">
        <v>23761</v>
      </c>
      <c r="D547" t="n">
        <v>26</v>
      </c>
      <c r="E547" t="n">
        <v>25</v>
      </c>
      <c r="F547" t="n">
        <v>24</v>
      </c>
      <c r="G547" t="n">
        <v>23</v>
      </c>
      <c r="H547" t="n">
        <v>28</v>
      </c>
      <c r="I547" t="n">
        <v>26</v>
      </c>
      <c r="J547" t="n">
        <v>24</v>
      </c>
      <c r="K547" t="n">
        <v>30</v>
      </c>
      <c r="L547" t="n">
        <v>0</v>
      </c>
      <c r="M547" t="n">
        <v>40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600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</row>
    <row r="548">
      <c r="A548" t="inlineStr">
        <is>
          <t>nyame_mail</t>
        </is>
      </c>
      <c r="B548" t="n">
        <v>32</v>
      </c>
      <c r="C548" t="n">
        <v>23768</v>
      </c>
      <c r="D548" t="n">
        <v>35</v>
      </c>
      <c r="E548" t="n">
        <v>24</v>
      </c>
      <c r="F548" t="n">
        <v>35</v>
      </c>
      <c r="G548" t="n">
        <v>33</v>
      </c>
      <c r="H548" t="n">
        <v>42</v>
      </c>
      <c r="I548" t="n">
        <v>37</v>
      </c>
      <c r="J548" t="n">
        <v>35</v>
      </c>
      <c r="K548" t="n">
        <v>30</v>
      </c>
      <c r="L548" t="n">
        <v>0</v>
      </c>
      <c r="M548" t="n">
        <v>40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300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</row>
    <row r="549">
      <c r="A549" t="inlineStr">
        <is>
          <t>nyame_sollerets</t>
        </is>
      </c>
      <c r="B549" t="n">
        <v>256</v>
      </c>
      <c r="C549" t="n">
        <v>23789</v>
      </c>
      <c r="D549" t="n">
        <v>23</v>
      </c>
      <c r="E549" t="n">
        <v>26</v>
      </c>
      <c r="F549" t="n">
        <v>24</v>
      </c>
      <c r="G549" t="n">
        <v>46</v>
      </c>
      <c r="H549" t="n">
        <v>25</v>
      </c>
      <c r="I549" t="n">
        <v>26</v>
      </c>
      <c r="J549" t="n">
        <v>38</v>
      </c>
      <c r="K549" t="n">
        <v>30</v>
      </c>
      <c r="L549" t="n">
        <v>0</v>
      </c>
      <c r="M549" t="n">
        <v>40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300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</row>
    <row r="550">
      <c r="A550" t="inlineStr">
        <is>
          <t>ocachi_gorget</t>
        </is>
      </c>
      <c r="B550" t="n">
        <v>512</v>
      </c>
      <c r="C550" t="n">
        <v>28400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5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</row>
    <row r="551">
      <c r="A551" t="inlineStr">
        <is>
          <t>odnowa_earring_+1</t>
        </is>
      </c>
      <c r="B551" t="n">
        <v>6144</v>
      </c>
      <c r="C551" t="n">
        <v>27549</v>
      </c>
      <c r="D551" t="n">
        <v>3</v>
      </c>
      <c r="E551" t="n">
        <v>0</v>
      </c>
      <c r="F551" t="n">
        <v>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inlineStr">
        <is>
          <t>odr_earring</t>
        </is>
      </c>
      <c r="B552" t="n">
        <v>6144</v>
      </c>
      <c r="C552" t="n">
        <v>26108</v>
      </c>
      <c r="D552" t="n">
        <v>0</v>
      </c>
      <c r="E552" t="n">
        <v>10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10</v>
      </c>
      <c r="N552" t="n">
        <v>5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</row>
    <row r="553">
      <c r="A553" t="inlineStr">
        <is>
          <t>odyssean_cuisses</t>
        </is>
      </c>
      <c r="B553" t="n">
        <v>128</v>
      </c>
      <c r="C553" t="n">
        <v>25840</v>
      </c>
      <c r="D553" t="n">
        <v>37</v>
      </c>
      <c r="E553" t="n">
        <v>0</v>
      </c>
      <c r="F553" t="n">
        <v>23</v>
      </c>
      <c r="G553" t="n">
        <v>16</v>
      </c>
      <c r="H553" t="n">
        <v>26</v>
      </c>
      <c r="I553" t="n">
        <v>12</v>
      </c>
      <c r="J553" t="n">
        <v>10</v>
      </c>
      <c r="K553" t="n">
        <v>0</v>
      </c>
      <c r="L553" t="n">
        <v>0</v>
      </c>
      <c r="M553" t="n">
        <v>15</v>
      </c>
      <c r="N553" t="n">
        <v>0</v>
      </c>
      <c r="O553" t="n">
        <v>0</v>
      </c>
      <c r="P553" t="n">
        <v>2</v>
      </c>
      <c r="Q553" t="n">
        <v>0</v>
      </c>
      <c r="R553" t="n">
        <v>0</v>
      </c>
      <c r="S553" t="n">
        <v>500</v>
      </c>
      <c r="T553" t="n">
        <v>0</v>
      </c>
      <c r="U553" t="n">
        <v>0</v>
      </c>
      <c r="V553" t="n">
        <v>0</v>
      </c>
      <c r="W553" t="n">
        <v>5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inlineStr">
        <is>
          <t>ogiers_surcoat</t>
        </is>
      </c>
      <c r="B554" t="n">
        <v>32</v>
      </c>
      <c r="C554" t="n">
        <v>10450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20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400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</row>
    <row r="555">
      <c r="A555" t="inlineStr">
        <is>
          <t>olseni_belt</t>
        </is>
      </c>
      <c r="B555" t="n">
        <v>1024</v>
      </c>
      <c r="C555" t="n">
        <v>28442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-5</v>
      </c>
      <c r="L555" t="n">
        <v>0</v>
      </c>
      <c r="M555" t="n">
        <v>20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3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inlineStr">
        <is>
          <t>omo._sune-ate</t>
        </is>
      </c>
      <c r="B556" t="n">
        <v>256</v>
      </c>
      <c r="C556" t="n">
        <v>28215</v>
      </c>
      <c r="D556" t="n">
        <v>8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10</v>
      </c>
      <c r="L556" t="n">
        <v>0</v>
      </c>
      <c r="M556" t="n">
        <v>0</v>
      </c>
      <c r="N556" t="n">
        <v>0</v>
      </c>
      <c r="O556" t="n">
        <v>0</v>
      </c>
      <c r="P556" t="n">
        <v>3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</row>
    <row r="557">
      <c r="A557" t="inlineStr">
        <is>
          <t>onca_suit</t>
        </is>
      </c>
      <c r="B557" t="n">
        <v>32</v>
      </c>
      <c r="C557" t="n">
        <v>26963</v>
      </c>
      <c r="D557" t="n">
        <v>93</v>
      </c>
      <c r="E557" t="n">
        <v>76</v>
      </c>
      <c r="F557" t="n">
        <v>102</v>
      </c>
      <c r="G557" t="n">
        <v>70</v>
      </c>
      <c r="H557" t="n">
        <v>51</v>
      </c>
      <c r="I557" t="n">
        <v>60</v>
      </c>
      <c r="J557" t="n">
        <v>65</v>
      </c>
      <c r="K557" t="n">
        <v>147</v>
      </c>
      <c r="L557" t="n">
        <v>0</v>
      </c>
      <c r="M557" t="n">
        <v>124</v>
      </c>
      <c r="N557" t="n">
        <v>0</v>
      </c>
      <c r="O557" t="n">
        <v>0</v>
      </c>
      <c r="P557" t="n">
        <v>10</v>
      </c>
      <c r="Q557" t="n">
        <v>0</v>
      </c>
      <c r="R557" t="n">
        <v>0</v>
      </c>
      <c r="S557" t="n">
        <v>1600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</row>
    <row r="558">
      <c r="A558" t="inlineStr">
        <is>
          <t>onimusha-no-kote</t>
        </is>
      </c>
      <c r="B558" t="n">
        <v>64</v>
      </c>
      <c r="C558" t="n">
        <v>28009</v>
      </c>
      <c r="D558" t="n">
        <v>10</v>
      </c>
      <c r="E558" t="n">
        <v>34</v>
      </c>
      <c r="F558" t="n">
        <v>28</v>
      </c>
      <c r="G558" t="n">
        <v>6</v>
      </c>
      <c r="H558" t="n">
        <v>10</v>
      </c>
      <c r="I558" t="n">
        <v>28</v>
      </c>
      <c r="J558" t="n">
        <v>16</v>
      </c>
      <c r="K558" t="n">
        <v>30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500</v>
      </c>
      <c r="T558" t="n">
        <v>0</v>
      </c>
      <c r="U558" t="n">
        <v>0</v>
      </c>
      <c r="V558" t="n">
        <v>0</v>
      </c>
      <c r="W558" t="n">
        <v>4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</row>
    <row r="559">
      <c r="A559" t="inlineStr">
        <is>
          <t>osmium_cuisses</t>
        </is>
      </c>
      <c r="B559" t="n">
        <v>128</v>
      </c>
      <c r="C559" t="n">
        <v>28173</v>
      </c>
      <c r="D559" t="n">
        <v>30</v>
      </c>
      <c r="E559" t="n">
        <v>0</v>
      </c>
      <c r="F559" t="n">
        <v>22</v>
      </c>
      <c r="G559" t="n">
        <v>17</v>
      </c>
      <c r="H559" t="n">
        <v>29</v>
      </c>
      <c r="I559" t="n">
        <v>16</v>
      </c>
      <c r="J559" t="n">
        <v>16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600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</row>
    <row r="560">
      <c r="A560" t="inlineStr">
        <is>
          <t>ostro_greaves</t>
        </is>
      </c>
      <c r="B560" t="n">
        <v>256</v>
      </c>
      <c r="C560" t="n">
        <v>28286</v>
      </c>
      <c r="D560" t="n">
        <v>14</v>
      </c>
      <c r="E560" t="n">
        <v>16</v>
      </c>
      <c r="F560" t="n">
        <v>15</v>
      </c>
      <c r="G560" t="n">
        <v>38</v>
      </c>
      <c r="H560" t="n">
        <v>0</v>
      </c>
      <c r="I560" t="n">
        <v>11</v>
      </c>
      <c r="J560" t="n">
        <v>28</v>
      </c>
      <c r="K560" t="n">
        <v>0</v>
      </c>
      <c r="L560" t="n">
        <v>0</v>
      </c>
      <c r="M560" t="n">
        <v>20</v>
      </c>
      <c r="N560" t="n">
        <v>0</v>
      </c>
      <c r="O560" t="n">
        <v>0</v>
      </c>
      <c r="P560" t="n">
        <v>2</v>
      </c>
      <c r="Q560" t="n">
        <v>0</v>
      </c>
      <c r="R560" t="n">
        <v>0</v>
      </c>
      <c r="S560" t="n">
        <v>400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</row>
    <row r="561">
      <c r="A561" t="inlineStr">
        <is>
          <t>otomi_helm</t>
        </is>
      </c>
      <c r="B561" t="n">
        <v>16</v>
      </c>
      <c r="C561" t="n">
        <v>27739</v>
      </c>
      <c r="D561" t="n">
        <v>27</v>
      </c>
      <c r="E561" t="n">
        <v>17</v>
      </c>
      <c r="F561" t="n">
        <v>22</v>
      </c>
      <c r="G561" t="n">
        <v>17</v>
      </c>
      <c r="H561" t="n">
        <v>16</v>
      </c>
      <c r="I561" t="n">
        <v>16</v>
      </c>
      <c r="J561" t="n">
        <v>16</v>
      </c>
      <c r="K561" t="n">
        <v>20</v>
      </c>
      <c r="L561" t="n">
        <v>0</v>
      </c>
      <c r="M561" t="n">
        <v>0</v>
      </c>
      <c r="N561" t="n">
        <v>0</v>
      </c>
      <c r="O561" t="n">
        <v>0</v>
      </c>
      <c r="P561" t="n">
        <v>3</v>
      </c>
      <c r="Q561" t="n">
        <v>0</v>
      </c>
      <c r="R561" t="n">
        <v>0</v>
      </c>
      <c r="S561" t="n">
        <v>800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</row>
    <row r="562">
      <c r="A562" t="inlineStr">
        <is>
          <t>otro._harness_+1</t>
        </is>
      </c>
      <c r="B562" t="n">
        <v>32</v>
      </c>
      <c r="C562" t="n">
        <v>27875</v>
      </c>
      <c r="D562" t="n">
        <v>23</v>
      </c>
      <c r="E562" t="n">
        <v>24</v>
      </c>
      <c r="F562" t="n">
        <v>20</v>
      </c>
      <c r="G562" t="n">
        <v>24</v>
      </c>
      <c r="H562" t="n">
        <v>23</v>
      </c>
      <c r="I562" t="n">
        <v>23</v>
      </c>
      <c r="J562" t="n">
        <v>23</v>
      </c>
      <c r="K562" t="n">
        <v>0</v>
      </c>
      <c r="L562" t="n">
        <v>0</v>
      </c>
      <c r="M562" t="n">
        <v>10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400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inlineStr">
        <is>
          <t>otronif_boots</t>
        </is>
      </c>
      <c r="B563" t="n">
        <v>256</v>
      </c>
      <c r="C563" t="n">
        <v>28333</v>
      </c>
      <c r="D563" t="n">
        <v>11</v>
      </c>
      <c r="E563" t="n">
        <v>12</v>
      </c>
      <c r="F563" t="n">
        <v>9</v>
      </c>
      <c r="G563" t="n">
        <v>27</v>
      </c>
      <c r="H563" t="n">
        <v>0</v>
      </c>
      <c r="I563" t="n">
        <v>10</v>
      </c>
      <c r="J563" t="n">
        <v>23</v>
      </c>
      <c r="K563" t="n">
        <v>5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400</v>
      </c>
      <c r="T563" t="n">
        <v>0</v>
      </c>
      <c r="U563" t="n">
        <v>0</v>
      </c>
      <c r="V563" t="n">
        <v>0</v>
      </c>
      <c r="W563" t="n">
        <v>7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inlineStr">
        <is>
          <t>otronif_boots_+1</t>
        </is>
      </c>
      <c r="B564" t="n">
        <v>256</v>
      </c>
      <c r="C564" t="n">
        <v>28298</v>
      </c>
      <c r="D564" t="n">
        <v>12</v>
      </c>
      <c r="E564" t="n">
        <v>13</v>
      </c>
      <c r="F564" t="n">
        <v>9</v>
      </c>
      <c r="G564" t="n">
        <v>32</v>
      </c>
      <c r="H564" t="n">
        <v>0</v>
      </c>
      <c r="I564" t="n">
        <v>10</v>
      </c>
      <c r="J564" t="n">
        <v>27</v>
      </c>
      <c r="K564" t="n">
        <v>5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500</v>
      </c>
      <c r="T564" t="n">
        <v>0</v>
      </c>
      <c r="U564" t="n">
        <v>0</v>
      </c>
      <c r="V564" t="n">
        <v>0</v>
      </c>
      <c r="W564" t="n">
        <v>7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</row>
    <row r="565">
      <c r="A565" t="inlineStr">
        <is>
          <t>otronif_brais</t>
        </is>
      </c>
      <c r="B565" t="n">
        <v>128</v>
      </c>
      <c r="C565" t="n">
        <v>28193</v>
      </c>
      <c r="D565" t="n">
        <v>25</v>
      </c>
      <c r="E565" t="n">
        <v>0</v>
      </c>
      <c r="F565" t="n">
        <v>11</v>
      </c>
      <c r="G565" t="n">
        <v>17</v>
      </c>
      <c r="H565" t="n">
        <v>25</v>
      </c>
      <c r="I565" t="n">
        <v>14</v>
      </c>
      <c r="J565" t="n">
        <v>8</v>
      </c>
      <c r="K565" t="n">
        <v>10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600</v>
      </c>
      <c r="T565" t="n">
        <v>0</v>
      </c>
      <c r="U565" t="n">
        <v>0</v>
      </c>
      <c r="V565" t="n">
        <v>0</v>
      </c>
      <c r="W565" t="n">
        <v>6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</row>
    <row r="566">
      <c r="A566" t="inlineStr">
        <is>
          <t>otronif_brais_+1</t>
        </is>
      </c>
      <c r="B566" t="n">
        <v>128</v>
      </c>
      <c r="C566" t="n">
        <v>28161</v>
      </c>
      <c r="D566" t="n">
        <v>30</v>
      </c>
      <c r="E566" t="n">
        <v>0</v>
      </c>
      <c r="F566" t="n">
        <v>12</v>
      </c>
      <c r="G566" t="n">
        <v>19</v>
      </c>
      <c r="H566" t="n">
        <v>30</v>
      </c>
      <c r="I566" t="n">
        <v>15</v>
      </c>
      <c r="J566" t="n">
        <v>8</v>
      </c>
      <c r="K566" t="n">
        <v>10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600</v>
      </c>
      <c r="T566" t="n">
        <v>0</v>
      </c>
      <c r="U566" t="n">
        <v>0</v>
      </c>
      <c r="V566" t="n">
        <v>0</v>
      </c>
      <c r="W566" t="n">
        <v>6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inlineStr">
        <is>
          <t>otronif_gloves</t>
        </is>
      </c>
      <c r="B567" t="n">
        <v>64</v>
      </c>
      <c r="C567" t="n">
        <v>28052</v>
      </c>
      <c r="D567" t="n">
        <v>8</v>
      </c>
      <c r="E567" t="n">
        <v>27</v>
      </c>
      <c r="F567" t="n">
        <v>22</v>
      </c>
      <c r="G567" t="n">
        <v>5</v>
      </c>
      <c r="H567" t="n">
        <v>8</v>
      </c>
      <c r="I567" t="n">
        <v>22</v>
      </c>
      <c r="J567" t="n">
        <v>13</v>
      </c>
      <c r="K567" t="n">
        <v>0</v>
      </c>
      <c r="L567" t="n">
        <v>0</v>
      </c>
      <c r="M567" t="n">
        <v>8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400</v>
      </c>
      <c r="T567" t="n">
        <v>0</v>
      </c>
      <c r="U567" t="n">
        <v>0</v>
      </c>
      <c r="V567" t="n">
        <v>0</v>
      </c>
      <c r="W567" t="n">
        <v>7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inlineStr">
        <is>
          <t>otronif_gloves_+1</t>
        </is>
      </c>
      <c r="B568" t="n">
        <v>64</v>
      </c>
      <c r="C568" t="n">
        <v>28019</v>
      </c>
      <c r="D568" t="n">
        <v>8</v>
      </c>
      <c r="E568" t="n">
        <v>32</v>
      </c>
      <c r="F568" t="n">
        <v>26</v>
      </c>
      <c r="G568" t="n">
        <v>6</v>
      </c>
      <c r="H568" t="n">
        <v>8</v>
      </c>
      <c r="I568" t="n">
        <v>26</v>
      </c>
      <c r="J568" t="n">
        <v>14</v>
      </c>
      <c r="K568" t="n">
        <v>0</v>
      </c>
      <c r="L568" t="n">
        <v>0</v>
      </c>
      <c r="M568" t="n">
        <v>8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500</v>
      </c>
      <c r="T568" t="n">
        <v>0</v>
      </c>
      <c r="U568" t="n">
        <v>0</v>
      </c>
      <c r="V568" t="n">
        <v>0</v>
      </c>
      <c r="W568" t="n">
        <v>7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</row>
    <row r="569">
      <c r="A569" t="inlineStr">
        <is>
          <t>otronif_harness</t>
        </is>
      </c>
      <c r="B569" t="n">
        <v>32</v>
      </c>
      <c r="C569" t="n">
        <v>27913</v>
      </c>
      <c r="D569" t="n">
        <v>20</v>
      </c>
      <c r="E569" t="n">
        <v>21</v>
      </c>
      <c r="F569" t="n">
        <v>18</v>
      </c>
      <c r="G569" t="n">
        <v>21</v>
      </c>
      <c r="H569" t="n">
        <v>20</v>
      </c>
      <c r="I569" t="n">
        <v>20</v>
      </c>
      <c r="J569" t="n">
        <v>20</v>
      </c>
      <c r="K569" t="n">
        <v>0</v>
      </c>
      <c r="L569" t="n">
        <v>0</v>
      </c>
      <c r="M569" t="n">
        <v>10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400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</row>
    <row r="570">
      <c r="A570" t="inlineStr">
        <is>
          <t>otronif_mask</t>
        </is>
      </c>
      <c r="B570" t="n">
        <v>16</v>
      </c>
      <c r="C570" t="n">
        <v>27769</v>
      </c>
      <c r="D570" t="n">
        <v>16</v>
      </c>
      <c r="E570" t="n">
        <v>16</v>
      </c>
      <c r="F570" t="n">
        <v>18</v>
      </c>
      <c r="G570" t="n">
        <v>18</v>
      </c>
      <c r="H570" t="n">
        <v>17</v>
      </c>
      <c r="I570" t="n">
        <v>17</v>
      </c>
      <c r="J570" t="n">
        <v>17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700</v>
      </c>
      <c r="T570" t="n">
        <v>0</v>
      </c>
      <c r="U570" t="n">
        <v>0</v>
      </c>
      <c r="V570" t="n">
        <v>0</v>
      </c>
      <c r="W570" t="n">
        <v>5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</row>
    <row r="571">
      <c r="A571" t="inlineStr">
        <is>
          <t>otronif_mask_+1</t>
        </is>
      </c>
      <c r="B571" t="n">
        <v>16</v>
      </c>
      <c r="C571" t="n">
        <v>27729</v>
      </c>
      <c r="D571" t="n">
        <v>17</v>
      </c>
      <c r="E571" t="n">
        <v>17</v>
      </c>
      <c r="F571" t="n">
        <v>19</v>
      </c>
      <c r="G571" t="n">
        <v>19</v>
      </c>
      <c r="H571" t="n">
        <v>18</v>
      </c>
      <c r="I571" t="n">
        <v>18</v>
      </c>
      <c r="J571" t="n">
        <v>18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800</v>
      </c>
      <c r="T571" t="n">
        <v>0</v>
      </c>
      <c r="U571" t="n">
        <v>0</v>
      </c>
      <c r="V571" t="n">
        <v>0</v>
      </c>
      <c r="W571" t="n">
        <v>5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</row>
    <row r="572">
      <c r="A572" t="inlineStr">
        <is>
          <t>outrider_greaves</t>
        </is>
      </c>
      <c r="B572" t="n">
        <v>256</v>
      </c>
      <c r="C572" t="n">
        <v>28306</v>
      </c>
      <c r="D572" t="n">
        <v>14</v>
      </c>
      <c r="E572" t="n">
        <v>17</v>
      </c>
      <c r="F572" t="n">
        <v>14</v>
      </c>
      <c r="G572" t="n">
        <v>30</v>
      </c>
      <c r="H572" t="n">
        <v>0</v>
      </c>
      <c r="I572" t="n">
        <v>9</v>
      </c>
      <c r="J572" t="n">
        <v>25</v>
      </c>
      <c r="K572" t="n">
        <v>4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300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</row>
    <row r="573">
      <c r="A573" t="inlineStr">
        <is>
          <t>outrider_hose</t>
        </is>
      </c>
      <c r="B573" t="n">
        <v>128</v>
      </c>
      <c r="C573" t="n">
        <v>28168</v>
      </c>
      <c r="D573" t="n">
        <v>31</v>
      </c>
      <c r="E573" t="n">
        <v>0</v>
      </c>
      <c r="F573" t="n">
        <v>19</v>
      </c>
      <c r="G573" t="n">
        <v>14</v>
      </c>
      <c r="H573" t="n">
        <v>25</v>
      </c>
      <c r="I573" t="n">
        <v>15</v>
      </c>
      <c r="J573" t="n">
        <v>12</v>
      </c>
      <c r="K573" t="n">
        <v>4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500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</row>
    <row r="574">
      <c r="A574" t="inlineStr">
        <is>
          <t>outrider_mail</t>
        </is>
      </c>
      <c r="B574" t="n">
        <v>32</v>
      </c>
      <c r="C574" t="n">
        <v>27881</v>
      </c>
      <c r="D574" t="n">
        <v>26</v>
      </c>
      <c r="E574" t="n">
        <v>20</v>
      </c>
      <c r="F574" t="n">
        <v>25</v>
      </c>
      <c r="G574" t="n">
        <v>20</v>
      </c>
      <c r="H574" t="n">
        <v>20</v>
      </c>
      <c r="I574" t="n">
        <v>20</v>
      </c>
      <c r="J574" t="n">
        <v>20</v>
      </c>
      <c r="K574" t="n">
        <v>6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300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</row>
    <row r="575">
      <c r="A575" t="inlineStr">
        <is>
          <t>outrider_mask</t>
        </is>
      </c>
      <c r="B575" t="n">
        <v>16</v>
      </c>
      <c r="C575" t="n">
        <v>27740</v>
      </c>
      <c r="D575" t="n">
        <v>24</v>
      </c>
      <c r="E575" t="n">
        <v>20</v>
      </c>
      <c r="F575" t="n">
        <v>22</v>
      </c>
      <c r="G575" t="n">
        <v>20</v>
      </c>
      <c r="H575" t="n">
        <v>19</v>
      </c>
      <c r="I575" t="n">
        <v>19</v>
      </c>
      <c r="J575" t="n">
        <v>19</v>
      </c>
      <c r="K575" t="n">
        <v>5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700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inlineStr">
        <is>
          <t>outrider_mittens</t>
        </is>
      </c>
      <c r="B576" t="n">
        <v>64</v>
      </c>
      <c r="C576" t="n">
        <v>28029</v>
      </c>
      <c r="D576" t="n">
        <v>6</v>
      </c>
      <c r="E576" t="n">
        <v>28</v>
      </c>
      <c r="F576" t="n">
        <v>29</v>
      </c>
      <c r="G576" t="n">
        <v>7</v>
      </c>
      <c r="H576" t="n">
        <v>9</v>
      </c>
      <c r="I576" t="n">
        <v>25</v>
      </c>
      <c r="J576" t="n">
        <v>19</v>
      </c>
      <c r="K576" t="n">
        <v>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400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inlineStr">
        <is>
          <t>paeapua</t>
        </is>
      </c>
      <c r="B577" t="n">
        <v>8</v>
      </c>
      <c r="C577" t="n">
        <v>21374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inlineStr">
        <is>
          <t>pak_corselet</t>
        </is>
      </c>
      <c r="B578" t="n">
        <v>32</v>
      </c>
      <c r="C578" t="n">
        <v>27920</v>
      </c>
      <c r="D578" t="n">
        <v>16</v>
      </c>
      <c r="E578" t="n">
        <v>9</v>
      </c>
      <c r="F578" t="n">
        <v>7</v>
      </c>
      <c r="G578" t="n">
        <v>8</v>
      </c>
      <c r="H578" t="n">
        <v>7</v>
      </c>
      <c r="I578" t="n">
        <v>7</v>
      </c>
      <c r="J578" t="n">
        <v>7</v>
      </c>
      <c r="K578" t="n">
        <v>18</v>
      </c>
      <c r="L578" t="n">
        <v>0</v>
      </c>
      <c r="M578" t="n">
        <v>18</v>
      </c>
      <c r="N578" t="n">
        <v>0</v>
      </c>
      <c r="O578" t="n">
        <v>0</v>
      </c>
      <c r="P578" t="n">
        <v>3</v>
      </c>
      <c r="Q578" t="n">
        <v>0</v>
      </c>
      <c r="R578" t="n">
        <v>0</v>
      </c>
      <c r="S578" t="n">
        <v>300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</row>
    <row r="579">
      <c r="A579" t="inlineStr">
        <is>
          <t>pak_corselet_+1</t>
        </is>
      </c>
      <c r="B579" t="n">
        <v>32</v>
      </c>
      <c r="C579" t="n">
        <v>27921</v>
      </c>
      <c r="D579" t="n">
        <v>17</v>
      </c>
      <c r="E579" t="n">
        <v>10</v>
      </c>
      <c r="F579" t="n">
        <v>8</v>
      </c>
      <c r="G579" t="n">
        <v>9</v>
      </c>
      <c r="H579" t="n">
        <v>7</v>
      </c>
      <c r="I579" t="n">
        <v>7</v>
      </c>
      <c r="J579" t="n">
        <v>7</v>
      </c>
      <c r="K579" t="n">
        <v>19</v>
      </c>
      <c r="L579" t="n">
        <v>0</v>
      </c>
      <c r="M579" t="n">
        <v>19</v>
      </c>
      <c r="N579" t="n">
        <v>0</v>
      </c>
      <c r="O579" t="n">
        <v>0</v>
      </c>
      <c r="P579" t="n">
        <v>4</v>
      </c>
      <c r="Q579" t="n">
        <v>0</v>
      </c>
      <c r="R579" t="n">
        <v>0</v>
      </c>
      <c r="S579" t="n">
        <v>300</v>
      </c>
      <c r="T579" t="n">
        <v>0</v>
      </c>
      <c r="U579" t="n">
        <v>0</v>
      </c>
      <c r="V579" t="n">
        <v>0</v>
      </c>
      <c r="W579" t="n">
        <v>4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inlineStr">
        <is>
          <t>panthalassa_sash</t>
        </is>
      </c>
      <c r="B580" t="n">
        <v>1024</v>
      </c>
      <c r="C580" t="n">
        <v>10841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4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500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</row>
    <row r="581">
      <c r="A581" t="inlineStr">
        <is>
          <t>passion_jacket</t>
        </is>
      </c>
      <c r="B581" t="n">
        <v>32</v>
      </c>
      <c r="C581" t="n">
        <v>25727</v>
      </c>
      <c r="D581" t="n">
        <v>21</v>
      </c>
      <c r="E581" t="n">
        <v>21</v>
      </c>
      <c r="F581" t="n">
        <v>21</v>
      </c>
      <c r="G581" t="n">
        <v>21</v>
      </c>
      <c r="H581" t="n">
        <v>29</v>
      </c>
      <c r="I581" t="n">
        <v>29</v>
      </c>
      <c r="J581" t="n">
        <v>29</v>
      </c>
      <c r="K581" t="n">
        <v>0</v>
      </c>
      <c r="L581" t="n">
        <v>0</v>
      </c>
      <c r="M581" t="n">
        <v>24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300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</row>
    <row r="582">
      <c r="A582" t="inlineStr">
        <is>
          <t>patentia_sash</t>
        </is>
      </c>
      <c r="B582" t="n">
        <v>1024</v>
      </c>
      <c r="C582" t="n">
        <v>10838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8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5</v>
      </c>
      <c r="W582" t="n">
        <v>5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</row>
    <row r="583">
      <c r="A583" t="inlineStr">
        <is>
          <t>patricius_ring</t>
        </is>
      </c>
      <c r="B583" t="n">
        <v>24576</v>
      </c>
      <c r="C583" t="n">
        <v>28578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7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</row>
    <row r="584">
      <c r="A584" t="inlineStr">
        <is>
          <t>perfection_sabatons</t>
        </is>
      </c>
      <c r="B584" t="n">
        <v>256</v>
      </c>
      <c r="C584" t="n">
        <v>24133</v>
      </c>
      <c r="D584" t="n">
        <v>35</v>
      </c>
      <c r="E584" t="n">
        <v>39</v>
      </c>
      <c r="F584" t="n">
        <v>25</v>
      </c>
      <c r="G584" t="n">
        <v>42</v>
      </c>
      <c r="H584" t="n">
        <v>0</v>
      </c>
      <c r="I584" t="n">
        <v>13</v>
      </c>
      <c r="J584" t="n">
        <v>36</v>
      </c>
      <c r="K584" t="n">
        <v>41</v>
      </c>
      <c r="L584" t="n">
        <v>0</v>
      </c>
      <c r="M584" t="n">
        <v>41</v>
      </c>
      <c r="N584" t="n">
        <v>4</v>
      </c>
      <c r="O584" t="n">
        <v>0</v>
      </c>
      <c r="P584" t="n">
        <v>0</v>
      </c>
      <c r="Q584" t="n">
        <v>0</v>
      </c>
      <c r="R584" t="n">
        <v>0</v>
      </c>
      <c r="S584" t="n">
        <v>300</v>
      </c>
      <c r="T584" t="n">
        <v>0</v>
      </c>
      <c r="U584" t="n">
        <v>0</v>
      </c>
      <c r="V584" t="n">
        <v>0</v>
      </c>
      <c r="W584" t="n">
        <v>4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</row>
    <row r="585">
      <c r="A585" t="inlineStr">
        <is>
          <t>pernicious_ring</t>
        </is>
      </c>
      <c r="B585" t="n">
        <v>24576</v>
      </c>
      <c r="C585" t="n">
        <v>10767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4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</row>
    <row r="586">
      <c r="A586" t="inlineStr">
        <is>
          <t>petrov_ring</t>
        </is>
      </c>
      <c r="B586" t="n">
        <v>24576</v>
      </c>
      <c r="C586" t="n">
        <v>10772</v>
      </c>
      <c r="D586" t="n">
        <v>3</v>
      </c>
      <c r="E586" t="n">
        <v>3</v>
      </c>
      <c r="F586" t="n">
        <v>3</v>
      </c>
      <c r="G586" t="n">
        <v>3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5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</row>
    <row r="587">
      <c r="A587" t="inlineStr">
        <is>
          <t>phalangite_mantle</t>
        </is>
      </c>
      <c r="B587" t="n">
        <v>32768</v>
      </c>
      <c r="C587" t="n">
        <v>26242</v>
      </c>
      <c r="D587" t="n">
        <v>5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25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</row>
    <row r="588">
      <c r="A588" t="inlineStr">
        <is>
          <t>phorcys_dirs</t>
        </is>
      </c>
      <c r="B588" t="n">
        <v>128</v>
      </c>
      <c r="C588" t="n">
        <v>10554</v>
      </c>
      <c r="D588" t="n">
        <v>0</v>
      </c>
      <c r="E588" t="n">
        <v>10</v>
      </c>
      <c r="F588" t="n">
        <v>10</v>
      </c>
      <c r="G588" t="n">
        <v>0</v>
      </c>
      <c r="H588" t="n">
        <v>0</v>
      </c>
      <c r="I588" t="n">
        <v>0</v>
      </c>
      <c r="J588" t="n">
        <v>0</v>
      </c>
      <c r="K588" t="n">
        <v>24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600</v>
      </c>
      <c r="T588" t="n">
        <v>0</v>
      </c>
      <c r="U588" t="n">
        <v>0</v>
      </c>
      <c r="V588" t="n">
        <v>0</v>
      </c>
      <c r="W588" t="n">
        <v>6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</row>
    <row r="589">
      <c r="A589" t="inlineStr">
        <is>
          <t>phorcys_korazin</t>
        </is>
      </c>
      <c r="B589" t="n">
        <v>32</v>
      </c>
      <c r="C589" t="n">
        <v>10474</v>
      </c>
      <c r="D589" t="n">
        <v>16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5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7</v>
      </c>
      <c r="AA589" t="n">
        <v>0</v>
      </c>
      <c r="AB589" t="n">
        <v>0</v>
      </c>
      <c r="AC589" t="n">
        <v>0</v>
      </c>
    </row>
    <row r="590">
      <c r="A590" t="inlineStr">
        <is>
          <t>phorcys_mitts</t>
        </is>
      </c>
      <c r="B590" t="n">
        <v>64</v>
      </c>
      <c r="C590" t="n">
        <v>10523</v>
      </c>
      <c r="D590" t="n">
        <v>9</v>
      </c>
      <c r="E590" t="n">
        <v>0</v>
      </c>
      <c r="F590" t="n">
        <v>9</v>
      </c>
      <c r="G590" t="n">
        <v>0</v>
      </c>
      <c r="H590" t="n">
        <v>0</v>
      </c>
      <c r="I590" t="n">
        <v>9</v>
      </c>
      <c r="J590" t="n">
        <v>0</v>
      </c>
      <c r="K590" t="n">
        <v>15</v>
      </c>
      <c r="L590" t="n">
        <v>0</v>
      </c>
      <c r="M590" t="n">
        <v>0</v>
      </c>
      <c r="N590" t="n">
        <v>0</v>
      </c>
      <c r="O590" t="n">
        <v>0</v>
      </c>
      <c r="P590" t="n">
        <v>2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inlineStr">
        <is>
          <t>phorcys_salade</t>
        </is>
      </c>
      <c r="B591" t="n">
        <v>16</v>
      </c>
      <c r="C591" t="n">
        <v>10901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10</v>
      </c>
      <c r="L591" t="n">
        <v>0</v>
      </c>
      <c r="M591" t="n">
        <v>10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700</v>
      </c>
      <c r="T591" t="n">
        <v>0</v>
      </c>
      <c r="U591" t="n">
        <v>0</v>
      </c>
      <c r="V591" t="n">
        <v>0</v>
      </c>
      <c r="W591" t="n">
        <v>5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</row>
    <row r="592">
      <c r="A592" t="inlineStr">
        <is>
          <t>phorcys_schuhs</t>
        </is>
      </c>
      <c r="B592" t="n">
        <v>256</v>
      </c>
      <c r="C592" t="n">
        <v>10620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12</v>
      </c>
      <c r="N592" t="n">
        <v>0</v>
      </c>
      <c r="O592" t="n">
        <v>0</v>
      </c>
      <c r="P592" t="n">
        <v>3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inlineStr">
        <is>
          <t>phos_belt</t>
        </is>
      </c>
      <c r="B593" t="n">
        <v>1024</v>
      </c>
      <c r="C593" t="n">
        <v>10836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700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</row>
    <row r="594">
      <c r="A594" t="inlineStr">
        <is>
          <t>phos_belt_+1</t>
        </is>
      </c>
      <c r="B594" t="n">
        <v>1024</v>
      </c>
      <c r="C594" t="n">
        <v>10837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800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inlineStr">
        <is>
          <t>porthos_byrnie</t>
        </is>
      </c>
      <c r="B595" t="n">
        <v>32</v>
      </c>
      <c r="C595" t="n">
        <v>10486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2</v>
      </c>
      <c r="R595" t="n">
        <v>0</v>
      </c>
      <c r="S595" t="n">
        <v>500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inlineStr">
        <is>
          <t>prestige_brais</t>
        </is>
      </c>
      <c r="B596" t="n">
        <v>128</v>
      </c>
      <c r="C596" t="n">
        <v>24145</v>
      </c>
      <c r="D596" t="n">
        <v>50</v>
      </c>
      <c r="E596" t="n">
        <v>0</v>
      </c>
      <c r="F596" t="n">
        <v>42</v>
      </c>
      <c r="G596" t="n">
        <v>27</v>
      </c>
      <c r="H596" t="n">
        <v>38</v>
      </c>
      <c r="I596" t="n">
        <v>31</v>
      </c>
      <c r="J596" t="n">
        <v>19</v>
      </c>
      <c r="K596" t="n">
        <v>41</v>
      </c>
      <c r="L596" t="n">
        <v>0</v>
      </c>
      <c r="M596" t="n">
        <v>41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500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inlineStr">
        <is>
          <t>prestige_crown</t>
        </is>
      </c>
      <c r="B597" t="n">
        <v>16</v>
      </c>
      <c r="C597" t="n">
        <v>24136</v>
      </c>
      <c r="D597" t="n">
        <v>35</v>
      </c>
      <c r="E597" t="n">
        <v>28</v>
      </c>
      <c r="F597" t="n">
        <v>48</v>
      </c>
      <c r="G597" t="n">
        <v>25</v>
      </c>
      <c r="H597" t="n">
        <v>25</v>
      </c>
      <c r="I597" t="n">
        <v>33</v>
      </c>
      <c r="J597" t="n">
        <v>23</v>
      </c>
      <c r="K597" t="n">
        <v>41</v>
      </c>
      <c r="L597" t="n">
        <v>0</v>
      </c>
      <c r="M597" t="n">
        <v>41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500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inlineStr">
        <is>
          <t>prestige_gauntlets</t>
        </is>
      </c>
      <c r="B598" t="n">
        <v>64</v>
      </c>
      <c r="C598" t="n">
        <v>24142</v>
      </c>
      <c r="D598" t="n">
        <v>26</v>
      </c>
      <c r="E598" t="n">
        <v>43</v>
      </c>
      <c r="F598" t="n">
        <v>54</v>
      </c>
      <c r="G598" t="n">
        <v>0</v>
      </c>
      <c r="H598" t="n">
        <v>20</v>
      </c>
      <c r="I598" t="n">
        <v>43</v>
      </c>
      <c r="J598" t="n">
        <v>28</v>
      </c>
      <c r="K598" t="n">
        <v>41</v>
      </c>
      <c r="L598" t="n">
        <v>0</v>
      </c>
      <c r="M598" t="n">
        <v>41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500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inlineStr">
        <is>
          <t>prestige_platemail</t>
        </is>
      </c>
      <c r="B599" t="n">
        <v>32</v>
      </c>
      <c r="C599" t="n">
        <v>24139</v>
      </c>
      <c r="D599" t="n">
        <v>44</v>
      </c>
      <c r="E599" t="n">
        <v>33</v>
      </c>
      <c r="F599" t="n">
        <v>50</v>
      </c>
      <c r="G599" t="n">
        <v>29</v>
      </c>
      <c r="H599" t="n">
        <v>30</v>
      </c>
      <c r="I599" t="n">
        <v>38</v>
      </c>
      <c r="J599" t="n">
        <v>28</v>
      </c>
      <c r="K599" t="n">
        <v>41</v>
      </c>
      <c r="L599" t="n">
        <v>0</v>
      </c>
      <c r="M599" t="n">
        <v>41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300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</row>
    <row r="600">
      <c r="A600" t="inlineStr">
        <is>
          <t>prestige_sabatons</t>
        </is>
      </c>
      <c r="B600" t="n">
        <v>256</v>
      </c>
      <c r="C600" t="n">
        <v>24148</v>
      </c>
      <c r="D600" t="n">
        <v>31</v>
      </c>
      <c r="E600" t="n">
        <v>28</v>
      </c>
      <c r="F600" t="n">
        <v>38</v>
      </c>
      <c r="G600" t="n">
        <v>39</v>
      </c>
      <c r="H600" t="n">
        <v>0</v>
      </c>
      <c r="I600" t="n">
        <v>29</v>
      </c>
      <c r="J600" t="n">
        <v>34</v>
      </c>
      <c r="K600" t="n">
        <v>41</v>
      </c>
      <c r="L600" t="n">
        <v>0</v>
      </c>
      <c r="M600" t="n">
        <v>41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300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inlineStr">
        <is>
          <t>prosilio_belt_+1</t>
        </is>
      </c>
      <c r="B601" t="n">
        <v>1024</v>
      </c>
      <c r="C601" t="n">
        <v>28439</v>
      </c>
      <c r="D601" t="n">
        <v>10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28</v>
      </c>
      <c r="L601" t="n">
        <v>0</v>
      </c>
      <c r="M601" t="n">
        <v>0</v>
      </c>
      <c r="N601" t="n">
        <v>0</v>
      </c>
      <c r="O601" t="n">
        <v>0</v>
      </c>
      <c r="P601" t="n">
        <v>-5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5</v>
      </c>
      <c r="AC601" t="n">
        <v>0</v>
      </c>
    </row>
    <row r="602">
      <c r="A602" t="inlineStr">
        <is>
          <t>ptica_headgear</t>
        </is>
      </c>
      <c r="B602" t="n">
        <v>16</v>
      </c>
      <c r="C602" t="n">
        <v>27709</v>
      </c>
      <c r="D602" t="n">
        <v>17</v>
      </c>
      <c r="E602" t="n">
        <v>23</v>
      </c>
      <c r="F602" t="n">
        <v>19</v>
      </c>
      <c r="G602" t="n">
        <v>25</v>
      </c>
      <c r="H602" t="n">
        <v>0</v>
      </c>
      <c r="I602" t="n">
        <v>18</v>
      </c>
      <c r="J602" t="n">
        <v>18</v>
      </c>
      <c r="K602" t="n">
        <v>0</v>
      </c>
      <c r="L602" t="n">
        <v>0</v>
      </c>
      <c r="M602" t="n">
        <v>23</v>
      </c>
      <c r="N602" t="n">
        <v>4</v>
      </c>
      <c r="O602" t="n">
        <v>0</v>
      </c>
      <c r="P602" t="n">
        <v>0</v>
      </c>
      <c r="Q602" t="n">
        <v>0</v>
      </c>
      <c r="R602" t="n">
        <v>0</v>
      </c>
      <c r="S602" t="n">
        <v>800</v>
      </c>
      <c r="T602" t="n">
        <v>0</v>
      </c>
      <c r="U602" t="n">
        <v>0</v>
      </c>
      <c r="V602" t="n">
        <v>5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inlineStr">
        <is>
          <t>punishing_gloves</t>
        </is>
      </c>
      <c r="B603" t="n">
        <v>64</v>
      </c>
      <c r="C603" t="n">
        <v>10302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15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inlineStr">
        <is>
          <t>pursuers_doublet</t>
        </is>
      </c>
      <c r="B604" t="n">
        <v>32</v>
      </c>
      <c r="C604" t="n">
        <v>26951</v>
      </c>
      <c r="D604" t="n">
        <v>24</v>
      </c>
      <c r="E604" t="n">
        <v>29</v>
      </c>
      <c r="F604" t="n">
        <v>21</v>
      </c>
      <c r="G604" t="n">
        <v>30</v>
      </c>
      <c r="H604" t="n">
        <v>23</v>
      </c>
      <c r="I604" t="n">
        <v>23</v>
      </c>
      <c r="J604" t="n">
        <v>23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400</v>
      </c>
      <c r="T604" t="n">
        <v>0</v>
      </c>
      <c r="U604" t="n">
        <v>0</v>
      </c>
      <c r="V604" t="n">
        <v>0</v>
      </c>
      <c r="W604" t="n">
        <v>6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inlineStr">
        <is>
          <t>pyaekue_belt</t>
        </is>
      </c>
      <c r="B605" t="n">
        <v>1024</v>
      </c>
      <c r="C605" t="n">
        <v>28464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900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inlineStr">
        <is>
          <t>pyaekue_belt_+1</t>
        </is>
      </c>
      <c r="B606" t="n">
        <v>1024</v>
      </c>
      <c r="C606" t="n">
        <v>28465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1000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inlineStr">
        <is>
          <t>qaaxo_harness</t>
        </is>
      </c>
      <c r="B607" t="n">
        <v>32</v>
      </c>
      <c r="C607" t="n">
        <v>27870</v>
      </c>
      <c r="D607" t="n">
        <v>19</v>
      </c>
      <c r="E607" t="n">
        <v>24</v>
      </c>
      <c r="F607" t="n">
        <v>21</v>
      </c>
      <c r="G607" t="n">
        <v>23</v>
      </c>
      <c r="H607" t="n">
        <v>20</v>
      </c>
      <c r="I607" t="n">
        <v>20</v>
      </c>
      <c r="J607" t="n">
        <v>20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2</v>
      </c>
      <c r="R607" t="n">
        <v>0</v>
      </c>
      <c r="S607" t="n">
        <v>400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inlineStr">
        <is>
          <t>qaaxo_leggings</t>
        </is>
      </c>
      <c r="B608" t="n">
        <v>256</v>
      </c>
      <c r="C608" t="n">
        <v>28295</v>
      </c>
      <c r="D608" t="n">
        <v>9</v>
      </c>
      <c r="E608" t="n">
        <v>21</v>
      </c>
      <c r="F608" t="n">
        <v>9</v>
      </c>
      <c r="G608" t="n">
        <v>27</v>
      </c>
      <c r="H608" t="n">
        <v>0</v>
      </c>
      <c r="I608" t="n">
        <v>9</v>
      </c>
      <c r="J608" t="n">
        <v>27</v>
      </c>
      <c r="K608" t="n">
        <v>0</v>
      </c>
      <c r="L608" t="n">
        <v>0</v>
      </c>
      <c r="M608" t="n">
        <v>5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400</v>
      </c>
      <c r="T608" t="n">
        <v>0</v>
      </c>
      <c r="U608" t="n">
        <v>0</v>
      </c>
      <c r="V608" t="n">
        <v>0</v>
      </c>
      <c r="W608" t="n">
        <v>3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inlineStr">
        <is>
          <t>qaaxo_mask</t>
        </is>
      </c>
      <c r="B609" t="n">
        <v>16</v>
      </c>
      <c r="C609" t="n">
        <v>27724</v>
      </c>
      <c r="D609" t="n">
        <v>15</v>
      </c>
      <c r="E609" t="n">
        <v>19</v>
      </c>
      <c r="F609" t="n">
        <v>15</v>
      </c>
      <c r="G609" t="n">
        <v>22</v>
      </c>
      <c r="H609" t="n">
        <v>15</v>
      </c>
      <c r="I609" t="n">
        <v>15</v>
      </c>
      <c r="J609" t="n">
        <v>16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800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inlineStr">
        <is>
          <t>qaaxo_mitaines</t>
        </is>
      </c>
      <c r="B610" t="n">
        <v>64</v>
      </c>
      <c r="C610" t="n">
        <v>28016</v>
      </c>
      <c r="D610" t="n">
        <v>8</v>
      </c>
      <c r="E610" t="n">
        <v>30</v>
      </c>
      <c r="F610" t="n">
        <v>29</v>
      </c>
      <c r="G610" t="n">
        <v>0</v>
      </c>
      <c r="H610" t="n">
        <v>9</v>
      </c>
      <c r="I610" t="n">
        <v>27</v>
      </c>
      <c r="J610" t="n">
        <v>14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500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inlineStr">
        <is>
          <t>qaaxo_tights</t>
        </is>
      </c>
      <c r="B611" t="n">
        <v>128</v>
      </c>
      <c r="C611" t="n">
        <v>28158</v>
      </c>
      <c r="D611" t="n">
        <v>24</v>
      </c>
      <c r="E611" t="n">
        <v>0</v>
      </c>
      <c r="F611" t="n">
        <v>13</v>
      </c>
      <c r="G611" t="n">
        <v>15</v>
      </c>
      <c r="H611" t="n">
        <v>27</v>
      </c>
      <c r="I611" t="n">
        <v>14</v>
      </c>
      <c r="J611" t="n">
        <v>8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600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inlineStr">
        <is>
          <t>quauhpilli_helm</t>
        </is>
      </c>
      <c r="B612" t="n">
        <v>16</v>
      </c>
      <c r="C612" t="n">
        <v>27779</v>
      </c>
      <c r="D612" t="n">
        <v>20</v>
      </c>
      <c r="E612" t="n">
        <v>12</v>
      </c>
      <c r="F612" t="n">
        <v>15</v>
      </c>
      <c r="G612" t="n">
        <v>12</v>
      </c>
      <c r="H612" t="n">
        <v>11</v>
      </c>
      <c r="I612" t="n">
        <v>11</v>
      </c>
      <c r="J612" t="n">
        <v>11</v>
      </c>
      <c r="K612" t="n">
        <v>20</v>
      </c>
      <c r="L612" t="n">
        <v>0</v>
      </c>
      <c r="M612" t="n">
        <v>0</v>
      </c>
      <c r="N612" t="n">
        <v>0</v>
      </c>
      <c r="O612" t="n">
        <v>0</v>
      </c>
      <c r="P612" t="n">
        <v>2</v>
      </c>
      <c r="Q612" t="n">
        <v>0</v>
      </c>
      <c r="R612" t="n">
        <v>0</v>
      </c>
      <c r="S612" t="n">
        <v>700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inlineStr">
        <is>
          <t>quiahuiz_helm</t>
        </is>
      </c>
      <c r="B613" t="n">
        <v>16</v>
      </c>
      <c r="C613" t="n">
        <v>27736</v>
      </c>
      <c r="D613" t="n">
        <v>22</v>
      </c>
      <c r="E613" t="n">
        <v>20</v>
      </c>
      <c r="F613" t="n">
        <v>22</v>
      </c>
      <c r="G613" t="n">
        <v>20</v>
      </c>
      <c r="H613" t="n">
        <v>19</v>
      </c>
      <c r="I613" t="n">
        <v>19</v>
      </c>
      <c r="J613" t="n">
        <v>19</v>
      </c>
      <c r="K613" t="n">
        <v>20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700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inlineStr">
        <is>
          <t>quiahuiz_trousers</t>
        </is>
      </c>
      <c r="B614" t="n">
        <v>128</v>
      </c>
      <c r="C614" t="n">
        <v>28166</v>
      </c>
      <c r="D614" t="n">
        <v>25</v>
      </c>
      <c r="E614" t="n">
        <v>0</v>
      </c>
      <c r="F614" t="n">
        <v>14</v>
      </c>
      <c r="G614" t="n">
        <v>17</v>
      </c>
      <c r="H614" t="n">
        <v>26</v>
      </c>
      <c r="I614" t="n">
        <v>21</v>
      </c>
      <c r="J614" t="n">
        <v>9</v>
      </c>
      <c r="K614" t="n">
        <v>25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600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inlineStr">
        <is>
          <t>rabid_visor</t>
        </is>
      </c>
      <c r="B615" t="n">
        <v>16</v>
      </c>
      <c r="C615" t="n">
        <v>26721</v>
      </c>
      <c r="D615" t="n">
        <v>26</v>
      </c>
      <c r="E615" t="n">
        <v>19</v>
      </c>
      <c r="F615" t="n">
        <v>21</v>
      </c>
      <c r="G615" t="n">
        <v>19</v>
      </c>
      <c r="H615" t="n">
        <v>19</v>
      </c>
      <c r="I615" t="n">
        <v>19</v>
      </c>
      <c r="J615" t="n">
        <v>19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800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inlineStr">
        <is>
          <t>radical_mantle</t>
        </is>
      </c>
      <c r="B616" t="n">
        <v>32768</v>
      </c>
      <c r="C616" t="n">
        <v>28646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9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inlineStr">
        <is>
          <t>radical_mantle_+1</t>
        </is>
      </c>
      <c r="B617" t="n">
        <v>32768</v>
      </c>
      <c r="C617" t="n">
        <v>28647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inlineStr">
        <is>
          <t>rager_ledel._+1</t>
        </is>
      </c>
      <c r="B618" t="n">
        <v>256</v>
      </c>
      <c r="C618" t="n">
        <v>28281</v>
      </c>
      <c r="D618" t="n">
        <v>10</v>
      </c>
      <c r="E618" t="n">
        <v>23</v>
      </c>
      <c r="F618" t="n">
        <v>12</v>
      </c>
      <c r="G618" t="n">
        <v>33</v>
      </c>
      <c r="H618" t="n">
        <v>0</v>
      </c>
      <c r="I618" t="n">
        <v>12</v>
      </c>
      <c r="J618" t="n">
        <v>29</v>
      </c>
      <c r="K618" t="n">
        <v>10</v>
      </c>
      <c r="L618" t="n">
        <v>0</v>
      </c>
      <c r="M618" t="n">
        <v>10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400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inlineStr">
        <is>
          <t>ramuh_ring</t>
        </is>
      </c>
      <c r="B619" t="n">
        <v>24576</v>
      </c>
      <c r="C619" t="n">
        <v>27568</v>
      </c>
      <c r="D619" t="n">
        <v>0</v>
      </c>
      <c r="E619" t="n">
        <v>8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</row>
    <row r="620">
      <c r="A620" t="inlineStr">
        <is>
          <t>ramuh_ring_+1</t>
        </is>
      </c>
      <c r="B620" t="n">
        <v>24576</v>
      </c>
      <c r="C620" t="n">
        <v>27569</v>
      </c>
      <c r="D620" t="n">
        <v>0</v>
      </c>
      <c r="E620" t="n">
        <v>9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5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inlineStr">
        <is>
          <t>rao_haidate</t>
        </is>
      </c>
      <c r="B621" t="n">
        <v>128</v>
      </c>
      <c r="C621" t="n">
        <v>27202</v>
      </c>
      <c r="D621" t="n">
        <v>45</v>
      </c>
      <c r="E621" t="n">
        <v>0</v>
      </c>
      <c r="F621" t="n">
        <v>15</v>
      </c>
      <c r="G621" t="n">
        <v>21</v>
      </c>
      <c r="H621" t="n">
        <v>30</v>
      </c>
      <c r="I621" t="n">
        <v>30</v>
      </c>
      <c r="J621" t="n">
        <v>8</v>
      </c>
      <c r="K621" t="n">
        <v>33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600</v>
      </c>
      <c r="T621" t="n">
        <v>0</v>
      </c>
      <c r="U621" t="n">
        <v>0</v>
      </c>
      <c r="V621" t="n">
        <v>0</v>
      </c>
      <c r="W621" t="n">
        <v>7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inlineStr">
        <is>
          <t>rao_haidate_+1</t>
        </is>
      </c>
      <c r="B622" t="n">
        <v>128</v>
      </c>
      <c r="C622" t="n">
        <v>27203</v>
      </c>
      <c r="D622" t="n">
        <v>46</v>
      </c>
      <c r="E622" t="n">
        <v>0</v>
      </c>
      <c r="F622" t="n">
        <v>15</v>
      </c>
      <c r="G622" t="n">
        <v>21</v>
      </c>
      <c r="H622" t="n">
        <v>30</v>
      </c>
      <c r="I622" t="n">
        <v>31</v>
      </c>
      <c r="J622" t="n">
        <v>8</v>
      </c>
      <c r="K622" t="n">
        <v>43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600</v>
      </c>
      <c r="T622" t="n">
        <v>0</v>
      </c>
      <c r="U622" t="n">
        <v>0</v>
      </c>
      <c r="V622" t="n">
        <v>0</v>
      </c>
      <c r="W622" t="n">
        <v>8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inlineStr">
        <is>
          <t>rao_kabuto</t>
        </is>
      </c>
      <c r="B623" t="n">
        <v>16</v>
      </c>
      <c r="C623" t="n">
        <v>26674</v>
      </c>
      <c r="D623" t="n">
        <v>35</v>
      </c>
      <c r="E623" t="n">
        <v>19</v>
      </c>
      <c r="F623" t="n">
        <v>24</v>
      </c>
      <c r="G623" t="n">
        <v>17</v>
      </c>
      <c r="H623" t="n">
        <v>15</v>
      </c>
      <c r="I623" t="n">
        <v>19</v>
      </c>
      <c r="J623" t="n">
        <v>15</v>
      </c>
      <c r="K623" t="n">
        <v>0</v>
      </c>
      <c r="L623" t="n">
        <v>0</v>
      </c>
      <c r="M623" t="n">
        <v>32</v>
      </c>
      <c r="N623" t="n">
        <v>4</v>
      </c>
      <c r="O623" t="n">
        <v>0</v>
      </c>
      <c r="P623" t="n">
        <v>0</v>
      </c>
      <c r="Q623" t="n">
        <v>0</v>
      </c>
      <c r="R623" t="n">
        <v>0</v>
      </c>
      <c r="S623" t="n">
        <v>800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inlineStr">
        <is>
          <t>rao_kabuto_+1</t>
        </is>
      </c>
      <c r="B624" t="n">
        <v>16</v>
      </c>
      <c r="C624" t="n">
        <v>26675</v>
      </c>
      <c r="D624" t="n">
        <v>36</v>
      </c>
      <c r="E624" t="n">
        <v>19</v>
      </c>
      <c r="F624" t="n">
        <v>24</v>
      </c>
      <c r="G624" t="n">
        <v>17</v>
      </c>
      <c r="H624" t="n">
        <v>15</v>
      </c>
      <c r="I624" t="n">
        <v>19</v>
      </c>
      <c r="J624" t="n">
        <v>15</v>
      </c>
      <c r="K624" t="n">
        <v>0</v>
      </c>
      <c r="L624" t="n">
        <v>0</v>
      </c>
      <c r="M624" t="n">
        <v>42</v>
      </c>
      <c r="N624" t="n">
        <v>4</v>
      </c>
      <c r="O624" t="n">
        <v>0</v>
      </c>
      <c r="P624" t="n">
        <v>0</v>
      </c>
      <c r="Q624" t="n">
        <v>0</v>
      </c>
      <c r="R624" t="n">
        <v>0</v>
      </c>
      <c r="S624" t="n">
        <v>800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</row>
    <row r="625">
      <c r="A625" t="inlineStr">
        <is>
          <t>rao_kote</t>
        </is>
      </c>
      <c r="B625" t="n">
        <v>64</v>
      </c>
      <c r="C625" t="n">
        <v>27026</v>
      </c>
      <c r="D625" t="n">
        <v>14</v>
      </c>
      <c r="E625" t="n">
        <v>34</v>
      </c>
      <c r="F625" t="n">
        <v>29</v>
      </c>
      <c r="G625" t="n">
        <v>16</v>
      </c>
      <c r="H625" t="n">
        <v>8</v>
      </c>
      <c r="I625" t="n">
        <v>32</v>
      </c>
      <c r="J625" t="n">
        <v>15</v>
      </c>
      <c r="K625" t="n">
        <v>32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500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</row>
    <row r="626">
      <c r="A626" t="inlineStr">
        <is>
          <t>rao_kote_+1</t>
        </is>
      </c>
      <c r="B626" t="n">
        <v>64</v>
      </c>
      <c r="C626" t="n">
        <v>27027</v>
      </c>
      <c r="D626" t="n">
        <v>14</v>
      </c>
      <c r="E626" t="n">
        <v>34</v>
      </c>
      <c r="F626" t="n">
        <v>29</v>
      </c>
      <c r="G626" t="n">
        <v>17</v>
      </c>
      <c r="H626" t="n">
        <v>8</v>
      </c>
      <c r="I626" t="n">
        <v>32</v>
      </c>
      <c r="J626" t="n">
        <v>15</v>
      </c>
      <c r="K626" t="n">
        <v>42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500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</row>
    <row r="627">
      <c r="A627" t="inlineStr">
        <is>
          <t>rao_sune-ate</t>
        </is>
      </c>
      <c r="B627" t="n">
        <v>256</v>
      </c>
      <c r="C627" t="n">
        <v>27378</v>
      </c>
      <c r="D627" t="n">
        <v>17</v>
      </c>
      <c r="E627" t="n">
        <v>25</v>
      </c>
      <c r="F627" t="n">
        <v>12</v>
      </c>
      <c r="G627" t="n">
        <v>34</v>
      </c>
      <c r="H627" t="n">
        <v>0</v>
      </c>
      <c r="I627" t="n">
        <v>16</v>
      </c>
      <c r="J627" t="n">
        <v>28</v>
      </c>
      <c r="K627" t="n">
        <v>0</v>
      </c>
      <c r="L627" t="n">
        <v>0</v>
      </c>
      <c r="M627" t="n">
        <v>31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400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inlineStr">
        <is>
          <t>rao_sune-ate_+1</t>
        </is>
      </c>
      <c r="B628" t="n">
        <v>256</v>
      </c>
      <c r="C628" t="n">
        <v>27379</v>
      </c>
      <c r="D628" t="n">
        <v>17</v>
      </c>
      <c r="E628" t="n">
        <v>26</v>
      </c>
      <c r="F628" t="n">
        <v>12</v>
      </c>
      <c r="G628" t="n">
        <v>34</v>
      </c>
      <c r="H628" t="n">
        <v>0</v>
      </c>
      <c r="I628" t="n">
        <v>16</v>
      </c>
      <c r="J628" t="n">
        <v>28</v>
      </c>
      <c r="K628" t="n">
        <v>0</v>
      </c>
      <c r="L628" t="n">
        <v>0</v>
      </c>
      <c r="M628" t="n">
        <v>41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400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inlineStr">
        <is>
          <t>rao_togi</t>
        </is>
      </c>
      <c r="B629" t="n">
        <v>32</v>
      </c>
      <c r="C629" t="n">
        <v>26850</v>
      </c>
      <c r="D629" t="n">
        <v>28</v>
      </c>
      <c r="E629" t="n">
        <v>25</v>
      </c>
      <c r="F629" t="n">
        <v>33</v>
      </c>
      <c r="G629" t="n">
        <v>25</v>
      </c>
      <c r="H629" t="n">
        <v>23</v>
      </c>
      <c r="I629" t="n">
        <v>26</v>
      </c>
      <c r="J629" t="n">
        <v>23</v>
      </c>
      <c r="K629" t="n">
        <v>24</v>
      </c>
      <c r="L629" t="n">
        <v>0</v>
      </c>
      <c r="M629" t="n">
        <v>24</v>
      </c>
      <c r="N629" t="n">
        <v>0</v>
      </c>
      <c r="O629" t="n">
        <v>0</v>
      </c>
      <c r="P629" t="n">
        <v>4</v>
      </c>
      <c r="Q629" t="n">
        <v>0</v>
      </c>
      <c r="R629" t="n">
        <v>0</v>
      </c>
      <c r="S629" t="n">
        <v>400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</row>
    <row r="630">
      <c r="A630" t="inlineStr">
        <is>
          <t>rao_togi_+1</t>
        </is>
      </c>
      <c r="B630" t="n">
        <v>32</v>
      </c>
      <c r="C630" t="n">
        <v>26851</v>
      </c>
      <c r="D630" t="n">
        <v>28</v>
      </c>
      <c r="E630" t="n">
        <v>25</v>
      </c>
      <c r="F630" t="n">
        <v>34</v>
      </c>
      <c r="G630" t="n">
        <v>25</v>
      </c>
      <c r="H630" t="n">
        <v>23</v>
      </c>
      <c r="I630" t="n">
        <v>26</v>
      </c>
      <c r="J630" t="n">
        <v>23</v>
      </c>
      <c r="K630" t="n">
        <v>34</v>
      </c>
      <c r="L630" t="n">
        <v>0</v>
      </c>
      <c r="M630" t="n">
        <v>34</v>
      </c>
      <c r="N630" t="n">
        <v>0</v>
      </c>
      <c r="O630" t="n">
        <v>0</v>
      </c>
      <c r="P630" t="n">
        <v>5</v>
      </c>
      <c r="Q630" t="n">
        <v>0</v>
      </c>
      <c r="R630" t="n">
        <v>0</v>
      </c>
      <c r="S630" t="n">
        <v>400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inlineStr">
        <is>
          <t>rawhide_boots</t>
        </is>
      </c>
      <c r="B631" t="n">
        <v>256</v>
      </c>
      <c r="C631" t="n">
        <v>27460</v>
      </c>
      <c r="D631" t="n">
        <v>18</v>
      </c>
      <c r="E631" t="n">
        <v>24</v>
      </c>
      <c r="F631" t="n">
        <v>12</v>
      </c>
      <c r="G631" t="n">
        <v>37</v>
      </c>
      <c r="H631" t="n">
        <v>0</v>
      </c>
      <c r="I631" t="n">
        <v>18</v>
      </c>
      <c r="J631" t="n">
        <v>30</v>
      </c>
      <c r="K631" t="n">
        <v>0</v>
      </c>
      <c r="L631" t="n">
        <v>0</v>
      </c>
      <c r="M631" t="n">
        <v>23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400</v>
      </c>
      <c r="T631" t="n">
        <v>0</v>
      </c>
      <c r="U631" t="n">
        <v>0</v>
      </c>
      <c r="V631" t="n">
        <v>3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</row>
    <row r="632">
      <c r="A632" t="inlineStr">
        <is>
          <t>rawhide_gloves</t>
        </is>
      </c>
      <c r="B632" t="n">
        <v>64</v>
      </c>
      <c r="C632" t="n">
        <v>27100</v>
      </c>
      <c r="D632" t="n">
        <v>13</v>
      </c>
      <c r="E632" t="n">
        <v>41</v>
      </c>
      <c r="F632" t="n">
        <v>34</v>
      </c>
      <c r="G632" t="n">
        <v>7</v>
      </c>
      <c r="H632" t="n">
        <v>14</v>
      </c>
      <c r="I632" t="n">
        <v>32</v>
      </c>
      <c r="J632" t="n">
        <v>19</v>
      </c>
      <c r="K632" t="n">
        <v>0</v>
      </c>
      <c r="L632" t="n">
        <v>0</v>
      </c>
      <c r="M632" t="n">
        <v>20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500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inlineStr">
        <is>
          <t>regal_ring</t>
        </is>
      </c>
      <c r="B633" t="n">
        <v>24576</v>
      </c>
      <c r="C633" t="n">
        <v>26191</v>
      </c>
      <c r="D633" t="n">
        <v>10</v>
      </c>
      <c r="E633" t="n">
        <v>10</v>
      </c>
      <c r="F633" t="n">
        <v>10</v>
      </c>
      <c r="G633" t="n">
        <v>10</v>
      </c>
      <c r="H633" t="n">
        <v>0</v>
      </c>
      <c r="I633" t="n">
        <v>0</v>
      </c>
      <c r="J633" t="n">
        <v>0</v>
      </c>
      <c r="K633" t="n">
        <v>20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inlineStr">
        <is>
          <t>reiki_osode</t>
        </is>
      </c>
      <c r="B634" t="n">
        <v>32</v>
      </c>
      <c r="C634" t="n">
        <v>25702</v>
      </c>
      <c r="D634" t="n">
        <v>35</v>
      </c>
      <c r="E634" t="n">
        <v>35</v>
      </c>
      <c r="F634" t="n">
        <v>35</v>
      </c>
      <c r="G634" t="n">
        <v>35</v>
      </c>
      <c r="H634" t="n">
        <v>35</v>
      </c>
      <c r="I634" t="n">
        <v>35</v>
      </c>
      <c r="J634" t="n">
        <v>35</v>
      </c>
      <c r="K634" t="n">
        <v>0</v>
      </c>
      <c r="L634" t="n">
        <v>0</v>
      </c>
      <c r="M634" t="n">
        <v>45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400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inlineStr">
        <is>
          <t>reiki_yotai</t>
        </is>
      </c>
      <c r="B635" t="n">
        <v>1024</v>
      </c>
      <c r="C635" t="n">
        <v>26321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7</v>
      </c>
      <c r="W635" t="n">
        <v>4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inlineStr">
        <is>
          <t>rep._plat._medal</t>
        </is>
      </c>
      <c r="B636" t="n">
        <v>512</v>
      </c>
      <c r="C636" t="n">
        <v>25415</v>
      </c>
      <c r="D636" t="n">
        <v>10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30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inlineStr">
        <is>
          <t>respite_cloak</t>
        </is>
      </c>
      <c r="B637" t="n">
        <v>32</v>
      </c>
      <c r="C637" t="n">
        <v>27857</v>
      </c>
      <c r="D637" t="n">
        <v>35</v>
      </c>
      <c r="E637" t="n">
        <v>35</v>
      </c>
      <c r="F637" t="n">
        <v>35</v>
      </c>
      <c r="G637" t="n">
        <v>35</v>
      </c>
      <c r="H637" t="n">
        <v>55</v>
      </c>
      <c r="I637" t="n">
        <v>55</v>
      </c>
      <c r="J637" t="n">
        <v>48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900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inlineStr">
        <is>
          <t>rev._breeches</t>
        </is>
      </c>
      <c r="B638" t="n">
        <v>128</v>
      </c>
      <c r="C638" t="n">
        <v>28096</v>
      </c>
      <c r="D638" t="n">
        <v>22</v>
      </c>
      <c r="E638" t="n">
        <v>0</v>
      </c>
      <c r="F638" t="n">
        <v>13</v>
      </c>
      <c r="G638" t="n">
        <v>10</v>
      </c>
      <c r="H638" t="n">
        <v>16</v>
      </c>
      <c r="I638" t="n">
        <v>8</v>
      </c>
      <c r="J638" t="n">
        <v>6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500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inlineStr">
        <is>
          <t>rev._breeches_+1</t>
        </is>
      </c>
      <c r="B639" t="n">
        <v>128</v>
      </c>
      <c r="C639" t="n">
        <v>28117</v>
      </c>
      <c r="D639" t="n">
        <v>35</v>
      </c>
      <c r="E639" t="n">
        <v>0</v>
      </c>
      <c r="F639" t="n">
        <v>21</v>
      </c>
      <c r="G639" t="n">
        <v>16</v>
      </c>
      <c r="H639" t="n">
        <v>25</v>
      </c>
      <c r="I639" t="n">
        <v>12</v>
      </c>
      <c r="J639" t="n">
        <v>10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500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inlineStr">
        <is>
          <t>rev._breeches_+2</t>
        </is>
      </c>
      <c r="B640" t="n">
        <v>128</v>
      </c>
      <c r="C640" t="n">
        <v>23247</v>
      </c>
      <c r="D640" t="n">
        <v>40</v>
      </c>
      <c r="E640" t="n">
        <v>0</v>
      </c>
      <c r="F640" t="n">
        <v>26</v>
      </c>
      <c r="G640" t="n">
        <v>21</v>
      </c>
      <c r="H640" t="n">
        <v>30</v>
      </c>
      <c r="I640" t="n">
        <v>17</v>
      </c>
      <c r="J640" t="n">
        <v>15</v>
      </c>
      <c r="K640" t="n">
        <v>0</v>
      </c>
      <c r="L640" t="n">
        <v>0</v>
      </c>
      <c r="M640" t="n">
        <v>39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500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inlineStr">
        <is>
          <t>rev._breeches_+3</t>
        </is>
      </c>
      <c r="B641" t="n">
        <v>128</v>
      </c>
      <c r="C641" t="n">
        <v>23582</v>
      </c>
      <c r="D641" t="n">
        <v>45</v>
      </c>
      <c r="E641" t="n">
        <v>0</v>
      </c>
      <c r="F641" t="n">
        <v>31</v>
      </c>
      <c r="G641" t="n">
        <v>29</v>
      </c>
      <c r="H641" t="n">
        <v>35</v>
      </c>
      <c r="I641" t="n">
        <v>22</v>
      </c>
      <c r="J641" t="n">
        <v>20</v>
      </c>
      <c r="K641" t="n">
        <v>0</v>
      </c>
      <c r="L641" t="n">
        <v>0</v>
      </c>
      <c r="M641" t="n">
        <v>49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500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</row>
    <row r="642">
      <c r="A642" t="inlineStr">
        <is>
          <t>rev._coronet</t>
        </is>
      </c>
      <c r="B642" t="n">
        <v>16</v>
      </c>
      <c r="C642" t="n">
        <v>27669</v>
      </c>
      <c r="D642" t="n">
        <v>17</v>
      </c>
      <c r="E642" t="n">
        <v>13</v>
      </c>
      <c r="F642" t="n">
        <v>20</v>
      </c>
      <c r="G642" t="n">
        <v>13</v>
      </c>
      <c r="H642" t="n">
        <v>13</v>
      </c>
      <c r="I642" t="n">
        <v>16</v>
      </c>
      <c r="J642" t="n">
        <v>8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600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inlineStr">
        <is>
          <t>rev._coronet_+1</t>
        </is>
      </c>
      <c r="B643" t="n">
        <v>16</v>
      </c>
      <c r="C643" t="n">
        <v>27690</v>
      </c>
      <c r="D643" t="n">
        <v>25</v>
      </c>
      <c r="E643" t="n">
        <v>19</v>
      </c>
      <c r="F643" t="n">
        <v>28</v>
      </c>
      <c r="G643" t="n">
        <v>19</v>
      </c>
      <c r="H643" t="n">
        <v>17</v>
      </c>
      <c r="I643" t="n">
        <v>20</v>
      </c>
      <c r="J643" t="n">
        <v>17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700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</row>
    <row r="644">
      <c r="A644" t="inlineStr">
        <is>
          <t>rev._coronet_+2</t>
        </is>
      </c>
      <c r="B644" t="n">
        <v>16</v>
      </c>
      <c r="C644" t="n">
        <v>23046</v>
      </c>
      <c r="D644" t="n">
        <v>30</v>
      </c>
      <c r="E644" t="n">
        <v>24</v>
      </c>
      <c r="F644" t="n">
        <v>33</v>
      </c>
      <c r="G644" t="n">
        <v>24</v>
      </c>
      <c r="H644" t="n">
        <v>22</v>
      </c>
      <c r="I644" t="n">
        <v>25</v>
      </c>
      <c r="J644" t="n">
        <v>22</v>
      </c>
      <c r="K644" t="n">
        <v>0</v>
      </c>
      <c r="L644" t="n">
        <v>0</v>
      </c>
      <c r="M644" t="n">
        <v>37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700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inlineStr">
        <is>
          <t>rev._coronet_+3</t>
        </is>
      </c>
      <c r="B645" t="n">
        <v>16</v>
      </c>
      <c r="C645" t="n">
        <v>23381</v>
      </c>
      <c r="D645" t="n">
        <v>35</v>
      </c>
      <c r="E645" t="n">
        <v>29</v>
      </c>
      <c r="F645" t="n">
        <v>38</v>
      </c>
      <c r="G645" t="n">
        <v>29</v>
      </c>
      <c r="H645" t="n">
        <v>27</v>
      </c>
      <c r="I645" t="n">
        <v>30</v>
      </c>
      <c r="J645" t="n">
        <v>27</v>
      </c>
      <c r="K645" t="n">
        <v>0</v>
      </c>
      <c r="L645" t="n">
        <v>0</v>
      </c>
      <c r="M645" t="n">
        <v>47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700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</row>
    <row r="646">
      <c r="A646" t="inlineStr">
        <is>
          <t>rev._gauntlets</t>
        </is>
      </c>
      <c r="B646" t="n">
        <v>64</v>
      </c>
      <c r="C646" t="n">
        <v>27949</v>
      </c>
      <c r="D646" t="n">
        <v>6</v>
      </c>
      <c r="E646" t="n">
        <v>18</v>
      </c>
      <c r="F646" t="n">
        <v>21</v>
      </c>
      <c r="G646" t="n">
        <v>0</v>
      </c>
      <c r="H646" t="n">
        <v>5</v>
      </c>
      <c r="I646" t="n">
        <v>16</v>
      </c>
      <c r="J646" t="n">
        <v>12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300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</row>
    <row r="647">
      <c r="A647" t="inlineStr">
        <is>
          <t>rev._gauntlets_+1</t>
        </is>
      </c>
      <c r="B647" t="n">
        <v>64</v>
      </c>
      <c r="C647" t="n">
        <v>27970</v>
      </c>
      <c r="D647" t="n">
        <v>10</v>
      </c>
      <c r="E647" t="n">
        <v>29</v>
      </c>
      <c r="F647" t="n">
        <v>33</v>
      </c>
      <c r="G647" t="n">
        <v>0</v>
      </c>
      <c r="H647" t="n">
        <v>8</v>
      </c>
      <c r="I647" t="n">
        <v>25</v>
      </c>
      <c r="J647" t="n">
        <v>19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400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inlineStr">
        <is>
          <t>rev._gauntlets_+2</t>
        </is>
      </c>
      <c r="B648" t="n">
        <v>64</v>
      </c>
      <c r="C648" t="n">
        <v>23180</v>
      </c>
      <c r="D648" t="n">
        <v>15</v>
      </c>
      <c r="E648" t="n">
        <v>34</v>
      </c>
      <c r="F648" t="n">
        <v>38</v>
      </c>
      <c r="G648" t="n">
        <v>0</v>
      </c>
      <c r="H648" t="n">
        <v>13</v>
      </c>
      <c r="I648" t="n">
        <v>30</v>
      </c>
      <c r="J648" t="n">
        <v>24</v>
      </c>
      <c r="K648" t="n">
        <v>0</v>
      </c>
      <c r="L648" t="n">
        <v>0</v>
      </c>
      <c r="M648" t="n">
        <v>38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400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inlineStr">
        <is>
          <t>rev._gauntlets_+3</t>
        </is>
      </c>
      <c r="B649" t="n">
        <v>64</v>
      </c>
      <c r="C649" t="n">
        <v>23515</v>
      </c>
      <c r="D649" t="n">
        <v>20</v>
      </c>
      <c r="E649" t="n">
        <v>39</v>
      </c>
      <c r="F649" t="n">
        <v>43</v>
      </c>
      <c r="G649" t="n">
        <v>0</v>
      </c>
      <c r="H649" t="n">
        <v>18</v>
      </c>
      <c r="I649" t="n">
        <v>35</v>
      </c>
      <c r="J649" t="n">
        <v>29</v>
      </c>
      <c r="K649" t="n">
        <v>0</v>
      </c>
      <c r="L649" t="n">
        <v>0</v>
      </c>
      <c r="M649" t="n">
        <v>48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400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inlineStr">
        <is>
          <t>rev._leggings</t>
        </is>
      </c>
      <c r="B650" t="n">
        <v>256</v>
      </c>
      <c r="C650" t="n">
        <v>28229</v>
      </c>
      <c r="D650" t="n">
        <v>10</v>
      </c>
      <c r="E650" t="n">
        <v>8</v>
      </c>
      <c r="F650" t="n">
        <v>11</v>
      </c>
      <c r="G650" t="n">
        <v>18</v>
      </c>
      <c r="H650" t="n">
        <v>0</v>
      </c>
      <c r="I650" t="n">
        <v>6</v>
      </c>
      <c r="J650" t="n">
        <v>17</v>
      </c>
      <c r="K650" t="n">
        <v>0</v>
      </c>
      <c r="L650" t="n">
        <v>0</v>
      </c>
      <c r="M650" t="n">
        <v>10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300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inlineStr">
        <is>
          <t>rev._leggings_+1</t>
        </is>
      </c>
      <c r="B651" t="n">
        <v>256</v>
      </c>
      <c r="C651" t="n">
        <v>28250</v>
      </c>
      <c r="D651" t="n">
        <v>16</v>
      </c>
      <c r="E651" t="n">
        <v>12</v>
      </c>
      <c r="F651" t="n">
        <v>17</v>
      </c>
      <c r="G651" t="n">
        <v>29</v>
      </c>
      <c r="H651" t="n">
        <v>0</v>
      </c>
      <c r="I651" t="n">
        <v>10</v>
      </c>
      <c r="J651" t="n">
        <v>26</v>
      </c>
      <c r="K651" t="n">
        <v>0</v>
      </c>
      <c r="L651" t="n">
        <v>0</v>
      </c>
      <c r="M651" t="n">
        <v>10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300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</row>
    <row r="652">
      <c r="A652" t="inlineStr">
        <is>
          <t>rev._leggings_+2</t>
        </is>
      </c>
      <c r="B652" t="n">
        <v>256</v>
      </c>
      <c r="C652" t="n">
        <v>23314</v>
      </c>
      <c r="D652" t="n">
        <v>21</v>
      </c>
      <c r="E652" t="n">
        <v>17</v>
      </c>
      <c r="F652" t="n">
        <v>22</v>
      </c>
      <c r="G652" t="n">
        <v>34</v>
      </c>
      <c r="H652" t="n">
        <v>0</v>
      </c>
      <c r="I652" t="n">
        <v>15</v>
      </c>
      <c r="J652" t="n">
        <v>31</v>
      </c>
      <c r="K652" t="n">
        <v>0</v>
      </c>
      <c r="L652" t="n">
        <v>0</v>
      </c>
      <c r="M652" t="n">
        <v>41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300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</row>
    <row r="653">
      <c r="A653" t="inlineStr">
        <is>
          <t>rev._leggings_+3</t>
        </is>
      </c>
      <c r="B653" t="n">
        <v>256</v>
      </c>
      <c r="C653" t="n">
        <v>23649</v>
      </c>
      <c r="D653" t="n">
        <v>26</v>
      </c>
      <c r="E653" t="n">
        <v>22</v>
      </c>
      <c r="F653" t="n">
        <v>27</v>
      </c>
      <c r="G653" t="n">
        <v>39</v>
      </c>
      <c r="H653" t="n">
        <v>0</v>
      </c>
      <c r="I653" t="n">
        <v>20</v>
      </c>
      <c r="J653" t="n">
        <v>36</v>
      </c>
      <c r="K653" t="n">
        <v>0</v>
      </c>
      <c r="L653" t="n">
        <v>0</v>
      </c>
      <c r="M653" t="n">
        <v>51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300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</row>
    <row r="654">
      <c r="A654" t="inlineStr">
        <is>
          <t>rev._surcoat_+1</t>
        </is>
      </c>
      <c r="B654" t="n">
        <v>32</v>
      </c>
      <c r="C654" t="n">
        <v>27834</v>
      </c>
      <c r="D654" t="n">
        <v>29</v>
      </c>
      <c r="E654" t="n">
        <v>19</v>
      </c>
      <c r="F654" t="n">
        <v>29</v>
      </c>
      <c r="G654" t="n">
        <v>19</v>
      </c>
      <c r="H654" t="n">
        <v>19</v>
      </c>
      <c r="I654" t="n">
        <v>19</v>
      </c>
      <c r="J654" t="n">
        <v>19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300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</row>
    <row r="655">
      <c r="A655" t="inlineStr">
        <is>
          <t>rev._surcoat_+2</t>
        </is>
      </c>
      <c r="B655" t="n">
        <v>32</v>
      </c>
      <c r="C655" t="n">
        <v>23113</v>
      </c>
      <c r="D655" t="n">
        <v>34</v>
      </c>
      <c r="E655" t="n">
        <v>24</v>
      </c>
      <c r="F655" t="n">
        <v>34</v>
      </c>
      <c r="G655" t="n">
        <v>24</v>
      </c>
      <c r="H655" t="n">
        <v>24</v>
      </c>
      <c r="I655" t="n">
        <v>24</v>
      </c>
      <c r="J655" t="n">
        <v>24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300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</row>
    <row r="656">
      <c r="A656" t="inlineStr">
        <is>
          <t>rev._surcoat_+3</t>
        </is>
      </c>
      <c r="B656" t="n">
        <v>32</v>
      </c>
      <c r="C656" t="n">
        <v>23448</v>
      </c>
      <c r="D656" t="n">
        <v>39</v>
      </c>
      <c r="E656" t="n">
        <v>29</v>
      </c>
      <c r="F656" t="n">
        <v>39</v>
      </c>
      <c r="G656" t="n">
        <v>29</v>
      </c>
      <c r="H656" t="n">
        <v>29</v>
      </c>
      <c r="I656" t="n">
        <v>29</v>
      </c>
      <c r="J656" t="n">
        <v>29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300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</row>
    <row r="657">
      <c r="A657" t="inlineStr">
        <is>
          <t>revelation_brais</t>
        </is>
      </c>
      <c r="B657" t="n">
        <v>128</v>
      </c>
      <c r="C657" t="n">
        <v>24131</v>
      </c>
      <c r="D657" t="n">
        <v>57</v>
      </c>
      <c r="E657" t="n">
        <v>0</v>
      </c>
      <c r="F657" t="n">
        <v>35</v>
      </c>
      <c r="G657" t="n">
        <v>34</v>
      </c>
      <c r="H657" t="n">
        <v>43</v>
      </c>
      <c r="I657" t="n">
        <v>22</v>
      </c>
      <c r="J657" t="n">
        <v>28</v>
      </c>
      <c r="K657" t="n">
        <v>42</v>
      </c>
      <c r="L657" t="n">
        <v>0</v>
      </c>
      <c r="M657" t="n">
        <v>42</v>
      </c>
      <c r="N657" t="n">
        <v>7</v>
      </c>
      <c r="O657" t="n">
        <v>0</v>
      </c>
      <c r="P657" t="n">
        <v>0</v>
      </c>
      <c r="Q657" t="n">
        <v>0</v>
      </c>
      <c r="R657" t="n">
        <v>0</v>
      </c>
      <c r="S657" t="n">
        <v>900</v>
      </c>
      <c r="T657" t="n">
        <v>0</v>
      </c>
      <c r="U657" t="n">
        <v>0</v>
      </c>
      <c r="V657" t="n">
        <v>0</v>
      </c>
      <c r="W657" t="n">
        <v>7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</row>
    <row r="658">
      <c r="A658" t="inlineStr">
        <is>
          <t>revelation_gauntlets</t>
        </is>
      </c>
      <c r="B658" t="n">
        <v>64</v>
      </c>
      <c r="C658" t="n">
        <v>24128</v>
      </c>
      <c r="D658" t="n">
        <v>28</v>
      </c>
      <c r="E658" t="n">
        <v>52</v>
      </c>
      <c r="F658" t="n">
        <v>41</v>
      </c>
      <c r="G658" t="n">
        <v>25</v>
      </c>
      <c r="H658" t="n">
        <v>26</v>
      </c>
      <c r="I658" t="n">
        <v>32</v>
      </c>
      <c r="J658" t="n">
        <v>34</v>
      </c>
      <c r="K658" t="n">
        <v>42</v>
      </c>
      <c r="L658" t="n">
        <v>0</v>
      </c>
      <c r="M658" t="n">
        <v>42</v>
      </c>
      <c r="N658" t="n">
        <v>4</v>
      </c>
      <c r="O658" t="n">
        <v>0</v>
      </c>
      <c r="P658" t="n">
        <v>0</v>
      </c>
      <c r="Q658" t="n">
        <v>0</v>
      </c>
      <c r="R658" t="n">
        <v>0</v>
      </c>
      <c r="S658" t="n">
        <v>400</v>
      </c>
      <c r="T658" t="n">
        <v>0</v>
      </c>
      <c r="U658" t="n">
        <v>0</v>
      </c>
      <c r="V658" t="n">
        <v>0</v>
      </c>
      <c r="W658" t="n">
        <v>4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</row>
    <row r="659">
      <c r="A659" t="inlineStr">
        <is>
          <t>revelation_sabatons</t>
        </is>
      </c>
      <c r="B659" t="n">
        <v>256</v>
      </c>
      <c r="C659" t="n">
        <v>24134</v>
      </c>
      <c r="D659" t="n">
        <v>36</v>
      </c>
      <c r="E659" t="n">
        <v>40</v>
      </c>
      <c r="F659" t="n">
        <v>26</v>
      </c>
      <c r="G659" t="n">
        <v>43</v>
      </c>
      <c r="H659" t="n">
        <v>0</v>
      </c>
      <c r="I659" t="n">
        <v>14</v>
      </c>
      <c r="J659" t="n">
        <v>37</v>
      </c>
      <c r="K659" t="n">
        <v>42</v>
      </c>
      <c r="L659" t="n">
        <v>0</v>
      </c>
      <c r="M659" t="n">
        <v>42</v>
      </c>
      <c r="N659" t="n">
        <v>5</v>
      </c>
      <c r="O659" t="n">
        <v>0</v>
      </c>
      <c r="P659" t="n">
        <v>0</v>
      </c>
      <c r="Q659" t="n">
        <v>0</v>
      </c>
      <c r="R659" t="n">
        <v>0</v>
      </c>
      <c r="S659" t="n">
        <v>300</v>
      </c>
      <c r="T659" t="n">
        <v>0</v>
      </c>
      <c r="U659" t="n">
        <v>0</v>
      </c>
      <c r="V659" t="n">
        <v>0</v>
      </c>
      <c r="W659" t="n">
        <v>5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</row>
    <row r="660">
      <c r="A660" t="inlineStr">
        <is>
          <t>reverence_surcoat</t>
        </is>
      </c>
      <c r="B660" t="n">
        <v>32</v>
      </c>
      <c r="C660" t="n">
        <v>27813</v>
      </c>
      <c r="D660" t="n">
        <v>18</v>
      </c>
      <c r="E660" t="n">
        <v>12</v>
      </c>
      <c r="F660" t="n">
        <v>18</v>
      </c>
      <c r="G660" t="n">
        <v>12</v>
      </c>
      <c r="H660" t="n">
        <v>12</v>
      </c>
      <c r="I660" t="n">
        <v>12</v>
      </c>
      <c r="J660" t="n">
        <v>12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300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inlineStr">
        <is>
          <t>rheic_dirs</t>
        </is>
      </c>
      <c r="B661" t="n">
        <v>128</v>
      </c>
      <c r="C661" t="n">
        <v>10550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18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</row>
    <row r="662">
      <c r="A662" t="inlineStr">
        <is>
          <t>rheic_dirs_+1</t>
        </is>
      </c>
      <c r="B662" t="n">
        <v>128</v>
      </c>
      <c r="C662" t="n">
        <v>10551</v>
      </c>
      <c r="D662" t="n">
        <v>0</v>
      </c>
      <c r="E662" t="n">
        <v>0</v>
      </c>
      <c r="F662" t="n">
        <v>8</v>
      </c>
      <c r="G662" t="n">
        <v>0</v>
      </c>
      <c r="H662" t="n">
        <v>0</v>
      </c>
      <c r="I662" t="n">
        <v>0</v>
      </c>
      <c r="J662" t="n">
        <v>0</v>
      </c>
      <c r="K662" t="n">
        <v>18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inlineStr">
        <is>
          <t>rheic_dirs_+2</t>
        </is>
      </c>
      <c r="B663" t="n">
        <v>128</v>
      </c>
      <c r="C663" t="n">
        <v>10552</v>
      </c>
      <c r="D663" t="n">
        <v>0</v>
      </c>
      <c r="E663" t="n">
        <v>8</v>
      </c>
      <c r="F663" t="n">
        <v>8</v>
      </c>
      <c r="G663" t="n">
        <v>0</v>
      </c>
      <c r="H663" t="n">
        <v>0</v>
      </c>
      <c r="I663" t="n">
        <v>0</v>
      </c>
      <c r="J663" t="n">
        <v>0</v>
      </c>
      <c r="K663" t="n">
        <v>20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400</v>
      </c>
      <c r="T663" t="n">
        <v>0</v>
      </c>
      <c r="U663" t="n">
        <v>0</v>
      </c>
      <c r="V663" t="n">
        <v>0</v>
      </c>
      <c r="W663" t="n">
        <v>2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inlineStr">
        <is>
          <t>rheic_dirs_+3</t>
        </is>
      </c>
      <c r="B664" t="n">
        <v>128</v>
      </c>
      <c r="C664" t="n">
        <v>10553</v>
      </c>
      <c r="D664" t="n">
        <v>0</v>
      </c>
      <c r="E664" t="n">
        <v>9</v>
      </c>
      <c r="F664" t="n">
        <v>9</v>
      </c>
      <c r="G664" t="n">
        <v>0</v>
      </c>
      <c r="H664" t="n">
        <v>0</v>
      </c>
      <c r="I664" t="n">
        <v>0</v>
      </c>
      <c r="J664" t="n">
        <v>0</v>
      </c>
      <c r="K664" t="n">
        <v>22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500</v>
      </c>
      <c r="T664" t="n">
        <v>0</v>
      </c>
      <c r="U664" t="n">
        <v>0</v>
      </c>
      <c r="V664" t="n">
        <v>0</v>
      </c>
      <c r="W664" t="n">
        <v>4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inlineStr">
        <is>
          <t>rheic_korazin</t>
        </is>
      </c>
      <c r="B665" t="n">
        <v>32</v>
      </c>
      <c r="C665" t="n">
        <v>10470</v>
      </c>
      <c r="D665" t="n">
        <v>12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3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inlineStr">
        <is>
          <t>rheic_korazin_+1</t>
        </is>
      </c>
      <c r="B666" t="n">
        <v>32</v>
      </c>
      <c r="C666" t="n">
        <v>10471</v>
      </c>
      <c r="D666" t="n">
        <v>12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3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inlineStr">
        <is>
          <t>rheic_korazin_+2</t>
        </is>
      </c>
      <c r="B667" t="n">
        <v>32</v>
      </c>
      <c r="C667" t="n">
        <v>10472</v>
      </c>
      <c r="D667" t="n">
        <v>12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4</v>
      </c>
      <c r="AA667" t="n">
        <v>0</v>
      </c>
      <c r="AB667" t="n">
        <v>0</v>
      </c>
      <c r="AC667" t="n">
        <v>0</v>
      </c>
    </row>
    <row r="668">
      <c r="A668" t="inlineStr">
        <is>
          <t>rheic_korazin_+3</t>
        </is>
      </c>
      <c r="B668" t="n">
        <v>32</v>
      </c>
      <c r="C668" t="n">
        <v>10473</v>
      </c>
      <c r="D668" t="n">
        <v>14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5</v>
      </c>
      <c r="AA668" t="n">
        <v>0</v>
      </c>
      <c r="AB668" t="n">
        <v>0</v>
      </c>
      <c r="AC668" t="n">
        <v>0</v>
      </c>
    </row>
    <row r="669">
      <c r="A669" t="inlineStr">
        <is>
          <t>rheic_mitts</t>
        </is>
      </c>
      <c r="B669" t="n">
        <v>64</v>
      </c>
      <c r="C669" t="n">
        <v>10519</v>
      </c>
      <c r="D669" t="n">
        <v>6</v>
      </c>
      <c r="E669" t="n">
        <v>0</v>
      </c>
      <c r="F669" t="n">
        <v>0</v>
      </c>
      <c r="G669" t="n">
        <v>0</v>
      </c>
      <c r="H669" t="n">
        <v>6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</row>
    <row r="670">
      <c r="A670" t="inlineStr">
        <is>
          <t>rheic_mitts_+1</t>
        </is>
      </c>
      <c r="B670" t="n">
        <v>64</v>
      </c>
      <c r="C670" t="n">
        <v>10520</v>
      </c>
      <c r="D670" t="n">
        <v>6</v>
      </c>
      <c r="E670" t="n">
        <v>0</v>
      </c>
      <c r="F670" t="n">
        <v>6</v>
      </c>
      <c r="G670" t="n">
        <v>0</v>
      </c>
      <c r="H670" t="n">
        <v>6</v>
      </c>
      <c r="I670" t="n">
        <v>6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inlineStr">
        <is>
          <t>rheic_mitts_+2</t>
        </is>
      </c>
      <c r="B671" t="n">
        <v>64</v>
      </c>
      <c r="C671" t="n">
        <v>10521</v>
      </c>
      <c r="D671" t="n">
        <v>7</v>
      </c>
      <c r="E671" t="n">
        <v>0</v>
      </c>
      <c r="F671" t="n">
        <v>7</v>
      </c>
      <c r="G671" t="n">
        <v>0</v>
      </c>
      <c r="H671" t="n">
        <v>7</v>
      </c>
      <c r="I671" t="n">
        <v>7</v>
      </c>
      <c r="J671" t="n">
        <v>0</v>
      </c>
      <c r="K671" t="n">
        <v>11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</row>
    <row r="672">
      <c r="A672" t="inlineStr">
        <is>
          <t>rheic_mitts_+3</t>
        </is>
      </c>
      <c r="B672" t="n">
        <v>64</v>
      </c>
      <c r="C672" t="n">
        <v>10522</v>
      </c>
      <c r="D672" t="n">
        <v>8</v>
      </c>
      <c r="E672" t="n">
        <v>0</v>
      </c>
      <c r="F672" t="n">
        <v>8</v>
      </c>
      <c r="G672" t="n">
        <v>0</v>
      </c>
      <c r="H672" t="n">
        <v>8</v>
      </c>
      <c r="I672" t="n">
        <v>8</v>
      </c>
      <c r="J672" t="n">
        <v>0</v>
      </c>
      <c r="K672" t="n">
        <v>13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</row>
    <row r="673">
      <c r="A673" t="inlineStr">
        <is>
          <t>rheic_salade</t>
        </is>
      </c>
      <c r="B673" t="n">
        <v>16</v>
      </c>
      <c r="C673" t="n">
        <v>10897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6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</row>
    <row r="674">
      <c r="A674" t="inlineStr">
        <is>
          <t>rheic_salade_+1</t>
        </is>
      </c>
      <c r="B674" t="n">
        <v>16</v>
      </c>
      <c r="C674" t="n">
        <v>10898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6</v>
      </c>
      <c r="L674" t="n">
        <v>0</v>
      </c>
      <c r="M674" t="n">
        <v>6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inlineStr">
        <is>
          <t>rheic_salade_+2</t>
        </is>
      </c>
      <c r="B675" t="n">
        <v>16</v>
      </c>
      <c r="C675" t="n">
        <v>10899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6</v>
      </c>
      <c r="L675" t="n">
        <v>0</v>
      </c>
      <c r="M675" t="n">
        <v>6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500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inlineStr">
        <is>
          <t>rheic_salade_+3</t>
        </is>
      </c>
      <c r="B676" t="n">
        <v>16</v>
      </c>
      <c r="C676" t="n">
        <v>10900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8</v>
      </c>
      <c r="L676" t="n">
        <v>0</v>
      </c>
      <c r="M676" t="n">
        <v>8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600</v>
      </c>
      <c r="T676" t="n">
        <v>0</v>
      </c>
      <c r="U676" t="n">
        <v>0</v>
      </c>
      <c r="V676" t="n">
        <v>0</v>
      </c>
      <c r="W676" t="n">
        <v>3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inlineStr">
        <is>
          <t>rheic_schuhs_+1</t>
        </is>
      </c>
      <c r="B677" t="n">
        <v>256</v>
      </c>
      <c r="C677" t="n">
        <v>10617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8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</row>
    <row r="678">
      <c r="A678" t="inlineStr">
        <is>
          <t>rheic_schuhs_+2</t>
        </is>
      </c>
      <c r="B678" t="n">
        <v>256</v>
      </c>
      <c r="C678" t="n">
        <v>10618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8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</row>
    <row r="679">
      <c r="A679" t="inlineStr">
        <is>
          <t>rheic_schuhs_+3</t>
        </is>
      </c>
      <c r="B679" t="n">
        <v>256</v>
      </c>
      <c r="C679" t="n">
        <v>10619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10</v>
      </c>
      <c r="N679" t="n">
        <v>0</v>
      </c>
      <c r="O679" t="n">
        <v>0</v>
      </c>
      <c r="P679" t="n">
        <v>2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</row>
    <row r="680">
      <c r="A680" t="inlineStr">
        <is>
          <t>rioters_collar</t>
        </is>
      </c>
      <c r="B680" t="n">
        <v>512</v>
      </c>
      <c r="C680" t="n">
        <v>10396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5</v>
      </c>
      <c r="L680" t="n">
        <v>0</v>
      </c>
      <c r="M680" t="n">
        <v>5</v>
      </c>
      <c r="N680" t="n">
        <v>0</v>
      </c>
      <c r="O680" t="n">
        <v>0</v>
      </c>
      <c r="P680" t="n">
        <v>2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</row>
    <row r="681">
      <c r="A681" t="inlineStr">
        <is>
          <t>rufescent_ring</t>
        </is>
      </c>
      <c r="B681" t="n">
        <v>24576</v>
      </c>
      <c r="C681" t="n">
        <v>26171</v>
      </c>
      <c r="D681" t="n">
        <v>6</v>
      </c>
      <c r="E681" t="n">
        <v>0</v>
      </c>
      <c r="F681" t="n">
        <v>0</v>
      </c>
      <c r="G681" t="n">
        <v>0</v>
      </c>
      <c r="H681" t="n">
        <v>0</v>
      </c>
      <c r="I681" t="n">
        <v>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7</v>
      </c>
      <c r="AC681" t="n">
        <v>0</v>
      </c>
    </row>
    <row r="682">
      <c r="A682" t="inlineStr">
        <is>
          <t>ryuo_domaru</t>
        </is>
      </c>
      <c r="B682" t="n">
        <v>32</v>
      </c>
      <c r="C682" t="n">
        <v>25684</v>
      </c>
      <c r="D682" t="n">
        <v>28</v>
      </c>
      <c r="E682" t="n">
        <v>24</v>
      </c>
      <c r="F682" t="n">
        <v>23</v>
      </c>
      <c r="G682" t="n">
        <v>29</v>
      </c>
      <c r="H682" t="n">
        <v>19</v>
      </c>
      <c r="I682" t="n">
        <v>19</v>
      </c>
      <c r="J682" t="n">
        <v>19</v>
      </c>
      <c r="K682" t="n">
        <v>27</v>
      </c>
      <c r="L682" t="n">
        <v>0</v>
      </c>
      <c r="M682" t="n">
        <v>27</v>
      </c>
      <c r="N682" t="n">
        <v>4</v>
      </c>
      <c r="O682" t="n">
        <v>0</v>
      </c>
      <c r="P682" t="n">
        <v>0</v>
      </c>
      <c r="Q682" t="n">
        <v>0</v>
      </c>
      <c r="R682" t="n">
        <v>0</v>
      </c>
      <c r="S682" t="n">
        <v>300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</row>
    <row r="683">
      <c r="A683" t="inlineStr">
        <is>
          <t>ryuo_domaru_+1</t>
        </is>
      </c>
      <c r="B683" t="n">
        <v>32</v>
      </c>
      <c r="C683" t="n">
        <v>25685</v>
      </c>
      <c r="D683" t="n">
        <v>28</v>
      </c>
      <c r="E683" t="n">
        <v>24</v>
      </c>
      <c r="F683" t="n">
        <v>23</v>
      </c>
      <c r="G683" t="n">
        <v>29</v>
      </c>
      <c r="H683" t="n">
        <v>19</v>
      </c>
      <c r="I683" t="n">
        <v>19</v>
      </c>
      <c r="J683" t="n">
        <v>19</v>
      </c>
      <c r="K683" t="n">
        <v>37</v>
      </c>
      <c r="L683" t="n">
        <v>0</v>
      </c>
      <c r="M683" t="n">
        <v>37</v>
      </c>
      <c r="N683" t="n">
        <v>5</v>
      </c>
      <c r="O683" t="n">
        <v>0</v>
      </c>
      <c r="P683" t="n">
        <v>0</v>
      </c>
      <c r="Q683" t="n">
        <v>0</v>
      </c>
      <c r="R683" t="n">
        <v>0</v>
      </c>
      <c r="S683" t="n">
        <v>300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inlineStr">
        <is>
          <t>ryuo_hakama</t>
        </is>
      </c>
      <c r="B684" t="n">
        <v>128</v>
      </c>
      <c r="C684" t="n">
        <v>27300</v>
      </c>
      <c r="D684" t="n">
        <v>29</v>
      </c>
      <c r="E684" t="n">
        <v>0</v>
      </c>
      <c r="F684" t="n">
        <v>15</v>
      </c>
      <c r="G684" t="n">
        <v>21</v>
      </c>
      <c r="H684" t="n">
        <v>30</v>
      </c>
      <c r="I684" t="n">
        <v>17</v>
      </c>
      <c r="J684" t="n">
        <v>11</v>
      </c>
      <c r="K684" t="n">
        <v>23</v>
      </c>
      <c r="L684" t="n">
        <v>0</v>
      </c>
      <c r="M684" t="n">
        <v>0</v>
      </c>
      <c r="N684" t="n">
        <v>0</v>
      </c>
      <c r="O684" t="n">
        <v>0</v>
      </c>
      <c r="P684" t="n">
        <v>3</v>
      </c>
      <c r="Q684" t="n">
        <v>0</v>
      </c>
      <c r="R684" t="n">
        <v>0</v>
      </c>
      <c r="S684" t="n">
        <v>500</v>
      </c>
      <c r="T684" t="n">
        <v>0</v>
      </c>
      <c r="U684" t="n">
        <v>0</v>
      </c>
      <c r="V684" t="n">
        <v>0</v>
      </c>
      <c r="W684" t="n">
        <v>7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</row>
    <row r="685">
      <c r="A685" t="inlineStr">
        <is>
          <t>ryuo_hakama_+1</t>
        </is>
      </c>
      <c r="B685" t="n">
        <v>128</v>
      </c>
      <c r="C685" t="n">
        <v>27301</v>
      </c>
      <c r="D685" t="n">
        <v>29</v>
      </c>
      <c r="E685" t="n">
        <v>0</v>
      </c>
      <c r="F685" t="n">
        <v>15</v>
      </c>
      <c r="G685" t="n">
        <v>21</v>
      </c>
      <c r="H685" t="n">
        <v>30</v>
      </c>
      <c r="I685" t="n">
        <v>17</v>
      </c>
      <c r="J685" t="n">
        <v>11</v>
      </c>
      <c r="K685" t="n">
        <v>33</v>
      </c>
      <c r="L685" t="n">
        <v>0</v>
      </c>
      <c r="M685" t="n">
        <v>0</v>
      </c>
      <c r="N685" t="n">
        <v>0</v>
      </c>
      <c r="O685" t="n">
        <v>0</v>
      </c>
      <c r="P685" t="n">
        <v>4</v>
      </c>
      <c r="Q685" t="n">
        <v>0</v>
      </c>
      <c r="R685" t="n">
        <v>0</v>
      </c>
      <c r="S685" t="n">
        <v>500</v>
      </c>
      <c r="T685" t="n">
        <v>0</v>
      </c>
      <c r="U685" t="n">
        <v>0</v>
      </c>
      <c r="V685" t="n">
        <v>0</v>
      </c>
      <c r="W685" t="n">
        <v>8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</row>
    <row r="686">
      <c r="A686" t="inlineStr">
        <is>
          <t>ryuo_somen</t>
        </is>
      </c>
      <c r="B686" t="n">
        <v>16</v>
      </c>
      <c r="C686" t="n">
        <v>25611</v>
      </c>
      <c r="D686" t="n">
        <v>21</v>
      </c>
      <c r="E686" t="n">
        <v>17</v>
      </c>
      <c r="F686" t="n">
        <v>14</v>
      </c>
      <c r="G686" t="n">
        <v>20</v>
      </c>
      <c r="H686" t="n">
        <v>11</v>
      </c>
      <c r="I686" t="n">
        <v>11</v>
      </c>
      <c r="J686" t="n">
        <v>11</v>
      </c>
      <c r="K686" t="n">
        <v>0</v>
      </c>
      <c r="L686" t="n">
        <v>0</v>
      </c>
      <c r="M686" t="n">
        <v>25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700</v>
      </c>
      <c r="T686" t="n">
        <v>0</v>
      </c>
      <c r="U686" t="n">
        <v>0</v>
      </c>
      <c r="V686" t="n">
        <v>8</v>
      </c>
      <c r="W686" t="n">
        <v>6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</row>
    <row r="687">
      <c r="A687" t="inlineStr">
        <is>
          <t>ryuo_somen_+1</t>
        </is>
      </c>
      <c r="B687" t="n">
        <v>16</v>
      </c>
      <c r="C687" t="n">
        <v>25612</v>
      </c>
      <c r="D687" t="n">
        <v>21</v>
      </c>
      <c r="E687" t="n">
        <v>17</v>
      </c>
      <c r="F687" t="n">
        <v>14</v>
      </c>
      <c r="G687" t="n">
        <v>20</v>
      </c>
      <c r="H687" t="n">
        <v>11</v>
      </c>
      <c r="I687" t="n">
        <v>11</v>
      </c>
      <c r="J687" t="n">
        <v>11</v>
      </c>
      <c r="K687" t="n">
        <v>0</v>
      </c>
      <c r="L687" t="n">
        <v>0</v>
      </c>
      <c r="M687" t="n">
        <v>35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700</v>
      </c>
      <c r="T687" t="n">
        <v>0</v>
      </c>
      <c r="U687" t="n">
        <v>0</v>
      </c>
      <c r="V687" t="n">
        <v>9</v>
      </c>
      <c r="W687" t="n">
        <v>7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</row>
    <row r="688">
      <c r="A688" t="inlineStr">
        <is>
          <t>ryuo_sune-ate</t>
        </is>
      </c>
      <c r="B688" t="n">
        <v>256</v>
      </c>
      <c r="C688" t="n">
        <v>27471</v>
      </c>
      <c r="D688" t="n">
        <v>26</v>
      </c>
      <c r="E688" t="n">
        <v>19</v>
      </c>
      <c r="F688" t="n">
        <v>11</v>
      </c>
      <c r="G688" t="n">
        <v>38</v>
      </c>
      <c r="H688" t="n">
        <v>0</v>
      </c>
      <c r="I688" t="n">
        <v>5</v>
      </c>
      <c r="J688" t="n">
        <v>19</v>
      </c>
      <c r="K688" t="n">
        <v>22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300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</row>
    <row r="689">
      <c r="A689" t="inlineStr">
        <is>
          <t>ryuo_sune-ate_+1</t>
        </is>
      </c>
      <c r="B689" t="n">
        <v>256</v>
      </c>
      <c r="C689" t="n">
        <v>27472</v>
      </c>
      <c r="D689" t="n">
        <v>27</v>
      </c>
      <c r="E689" t="n">
        <v>19</v>
      </c>
      <c r="F689" t="n">
        <v>11</v>
      </c>
      <c r="G689" t="n">
        <v>38</v>
      </c>
      <c r="H689" t="n">
        <v>0</v>
      </c>
      <c r="I689" t="n">
        <v>5</v>
      </c>
      <c r="J689" t="n">
        <v>19</v>
      </c>
      <c r="K689" t="n">
        <v>32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300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inlineStr">
        <is>
          <t>ryuo_tekko</t>
        </is>
      </c>
      <c r="B690" t="n">
        <v>64</v>
      </c>
      <c r="C690" t="n">
        <v>27115</v>
      </c>
      <c r="D690" t="n">
        <v>12</v>
      </c>
      <c r="E690" t="n">
        <v>38</v>
      </c>
      <c r="F690" t="n">
        <v>30</v>
      </c>
      <c r="G690" t="n">
        <v>12</v>
      </c>
      <c r="H690" t="n">
        <v>12</v>
      </c>
      <c r="I690" t="n">
        <v>30</v>
      </c>
      <c r="J690" t="n">
        <v>17</v>
      </c>
      <c r="K690" t="n">
        <v>0</v>
      </c>
      <c r="L690" t="n">
        <v>0</v>
      </c>
      <c r="M690" t="n">
        <v>23</v>
      </c>
      <c r="N690" t="n">
        <v>4</v>
      </c>
      <c r="O690" t="n">
        <v>4</v>
      </c>
      <c r="P690" t="n">
        <v>0</v>
      </c>
      <c r="Q690" t="n">
        <v>0</v>
      </c>
      <c r="R690" t="n">
        <v>0</v>
      </c>
      <c r="S690" t="n">
        <v>400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</row>
    <row r="691">
      <c r="A691" t="inlineStr">
        <is>
          <t>ryuo_tekko_+1</t>
        </is>
      </c>
      <c r="B691" t="n">
        <v>64</v>
      </c>
      <c r="C691" t="n">
        <v>27116</v>
      </c>
      <c r="D691" t="n">
        <v>12</v>
      </c>
      <c r="E691" t="n">
        <v>38</v>
      </c>
      <c r="F691" t="n">
        <v>30</v>
      </c>
      <c r="G691" t="n">
        <v>13</v>
      </c>
      <c r="H691" t="n">
        <v>12</v>
      </c>
      <c r="I691" t="n">
        <v>30</v>
      </c>
      <c r="J691" t="n">
        <v>17</v>
      </c>
      <c r="K691" t="n">
        <v>0</v>
      </c>
      <c r="L691" t="n">
        <v>0</v>
      </c>
      <c r="M691" t="n">
        <v>36</v>
      </c>
      <c r="N691" t="n">
        <v>5</v>
      </c>
      <c r="O691" t="n">
        <v>5</v>
      </c>
      <c r="P691" t="n">
        <v>0</v>
      </c>
      <c r="Q691" t="n">
        <v>0</v>
      </c>
      <c r="R691" t="n">
        <v>0</v>
      </c>
      <c r="S691" t="n">
        <v>400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</row>
    <row r="692">
      <c r="A692" t="inlineStr">
        <is>
          <t>sahip_helm</t>
        </is>
      </c>
      <c r="B692" t="n">
        <v>16</v>
      </c>
      <c r="C692" t="n">
        <v>27710</v>
      </c>
      <c r="D692" t="n">
        <v>23</v>
      </c>
      <c r="E692" t="n">
        <v>22</v>
      </c>
      <c r="F692" t="n">
        <v>23</v>
      </c>
      <c r="G692" t="n">
        <v>22</v>
      </c>
      <c r="H692" t="n">
        <v>23</v>
      </c>
      <c r="I692" t="n">
        <v>18</v>
      </c>
      <c r="J692" t="n">
        <v>19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800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</row>
    <row r="693">
      <c r="A693" t="inlineStr">
        <is>
          <t>sailfi_belt</t>
        </is>
      </c>
      <c r="B693" t="n">
        <v>1024</v>
      </c>
      <c r="C693" t="n">
        <v>28427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800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</row>
    <row r="694">
      <c r="A694" t="inlineStr">
        <is>
          <t>sailfi_belt_+1</t>
        </is>
      </c>
      <c r="B694" t="n">
        <v>1024</v>
      </c>
      <c r="C694" t="n">
        <v>28428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2</v>
      </c>
      <c r="R694" t="n">
        <v>0</v>
      </c>
      <c r="S694" t="n">
        <v>900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</row>
    <row r="695">
      <c r="A695" t="inlineStr">
        <is>
          <t>sakpatas_breastplate</t>
        </is>
      </c>
      <c r="B695" t="n">
        <v>32</v>
      </c>
      <c r="C695" t="n">
        <v>23764</v>
      </c>
      <c r="D695" t="n">
        <v>42</v>
      </c>
      <c r="E695" t="n">
        <v>25</v>
      </c>
      <c r="F695" t="n">
        <v>42</v>
      </c>
      <c r="G695" t="n">
        <v>25</v>
      </c>
      <c r="H695" t="n">
        <v>24</v>
      </c>
      <c r="I695" t="n">
        <v>28</v>
      </c>
      <c r="J695" t="n">
        <v>26</v>
      </c>
      <c r="K695" t="n">
        <v>40</v>
      </c>
      <c r="L695" t="n">
        <v>0</v>
      </c>
      <c r="M695" t="n">
        <v>40</v>
      </c>
      <c r="N695" t="n">
        <v>0</v>
      </c>
      <c r="O695" t="n">
        <v>0</v>
      </c>
      <c r="P695" t="n">
        <v>8</v>
      </c>
      <c r="Q695" t="n">
        <v>0</v>
      </c>
      <c r="R695" t="n">
        <v>0</v>
      </c>
      <c r="S695" t="n">
        <v>200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inlineStr">
        <is>
          <t>sakpatas_cuisses</t>
        </is>
      </c>
      <c r="B696" t="n">
        <v>128</v>
      </c>
      <c r="C696" t="n">
        <v>23778</v>
      </c>
      <c r="D696" t="n">
        <v>48</v>
      </c>
      <c r="E696" t="n">
        <v>0</v>
      </c>
      <c r="F696" t="n">
        <v>34</v>
      </c>
      <c r="G696" t="n">
        <v>23</v>
      </c>
      <c r="H696" t="n">
        <v>32</v>
      </c>
      <c r="I696" t="n">
        <v>21</v>
      </c>
      <c r="J696" t="n">
        <v>17</v>
      </c>
      <c r="K696" t="n">
        <v>40</v>
      </c>
      <c r="L696" t="n">
        <v>0</v>
      </c>
      <c r="M696" t="n">
        <v>40</v>
      </c>
      <c r="N696" t="n">
        <v>0</v>
      </c>
      <c r="O696" t="n">
        <v>0</v>
      </c>
      <c r="P696" t="n">
        <v>7</v>
      </c>
      <c r="Q696" t="n">
        <v>0</v>
      </c>
      <c r="R696" t="n">
        <v>0</v>
      </c>
      <c r="S696" t="n">
        <v>400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</row>
    <row r="697">
      <c r="A697" t="inlineStr">
        <is>
          <t>sakpatas_gauntlets</t>
        </is>
      </c>
      <c r="B697" t="n">
        <v>64</v>
      </c>
      <c r="C697" t="n">
        <v>23771</v>
      </c>
      <c r="D697" t="n">
        <v>24</v>
      </c>
      <c r="E697" t="n">
        <v>35</v>
      </c>
      <c r="F697" t="n">
        <v>46</v>
      </c>
      <c r="G697" t="n">
        <v>0</v>
      </c>
      <c r="H697" t="n">
        <v>14</v>
      </c>
      <c r="I697" t="n">
        <v>33</v>
      </c>
      <c r="J697" t="n">
        <v>26</v>
      </c>
      <c r="K697" t="n">
        <v>40</v>
      </c>
      <c r="L697" t="n">
        <v>0</v>
      </c>
      <c r="M697" t="n">
        <v>40</v>
      </c>
      <c r="N697" t="n">
        <v>0</v>
      </c>
      <c r="O697" t="n">
        <v>0</v>
      </c>
      <c r="P697" t="n">
        <v>6</v>
      </c>
      <c r="Q697" t="n">
        <v>0</v>
      </c>
      <c r="R697" t="n">
        <v>0</v>
      </c>
      <c r="S697" t="n">
        <v>400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</row>
    <row r="698">
      <c r="A698" t="inlineStr">
        <is>
          <t>sakpatas_helm</t>
        </is>
      </c>
      <c r="B698" t="n">
        <v>16</v>
      </c>
      <c r="C698" t="n">
        <v>23757</v>
      </c>
      <c r="D698" t="n">
        <v>33</v>
      </c>
      <c r="E698" t="n">
        <v>20</v>
      </c>
      <c r="F698" t="n">
        <v>40</v>
      </c>
      <c r="G698" t="n">
        <v>21</v>
      </c>
      <c r="H698" t="n">
        <v>19</v>
      </c>
      <c r="I698" t="n">
        <v>23</v>
      </c>
      <c r="J698" t="n">
        <v>21</v>
      </c>
      <c r="K698" t="n">
        <v>40</v>
      </c>
      <c r="L698" t="n">
        <v>0</v>
      </c>
      <c r="M698" t="n">
        <v>40</v>
      </c>
      <c r="N698" t="n">
        <v>0</v>
      </c>
      <c r="O698" t="n">
        <v>0</v>
      </c>
      <c r="P698" t="n">
        <v>5</v>
      </c>
      <c r="Q698" t="n">
        <v>0</v>
      </c>
      <c r="R698" t="n">
        <v>0</v>
      </c>
      <c r="S698" t="n">
        <v>400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</row>
    <row r="699">
      <c r="A699" t="inlineStr">
        <is>
          <t>sakpatas_leggings</t>
        </is>
      </c>
      <c r="B699" t="n">
        <v>256</v>
      </c>
      <c r="C699" t="n">
        <v>23785</v>
      </c>
      <c r="D699" t="n">
        <v>29</v>
      </c>
      <c r="E699" t="n">
        <v>20</v>
      </c>
      <c r="F699" t="n">
        <v>30</v>
      </c>
      <c r="G699" t="n">
        <v>35</v>
      </c>
      <c r="H699" t="n">
        <v>0</v>
      </c>
      <c r="I699" t="n">
        <v>19</v>
      </c>
      <c r="J699" t="n">
        <v>32</v>
      </c>
      <c r="K699" t="n">
        <v>40</v>
      </c>
      <c r="L699" t="n">
        <v>0</v>
      </c>
      <c r="M699" t="n">
        <v>40</v>
      </c>
      <c r="N699" t="n">
        <v>0</v>
      </c>
      <c r="O699" t="n">
        <v>0</v>
      </c>
      <c r="P699" t="n">
        <v>4</v>
      </c>
      <c r="Q699" t="n">
        <v>0</v>
      </c>
      <c r="R699" t="n">
        <v>0</v>
      </c>
      <c r="S699" t="n">
        <v>200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</row>
    <row r="700">
      <c r="A700" t="inlineStr">
        <is>
          <t>samnuha_tights</t>
        </is>
      </c>
      <c r="B700" t="n">
        <v>128</v>
      </c>
      <c r="C700" t="n">
        <v>27295</v>
      </c>
      <c r="D700" t="n">
        <v>38</v>
      </c>
      <c r="E700" t="n">
        <v>6</v>
      </c>
      <c r="F700" t="n">
        <v>15</v>
      </c>
      <c r="G700" t="n">
        <v>30</v>
      </c>
      <c r="H700" t="n">
        <v>28</v>
      </c>
      <c r="I700" t="n">
        <v>16</v>
      </c>
      <c r="J700" t="n">
        <v>8</v>
      </c>
      <c r="K700" t="n">
        <v>0</v>
      </c>
      <c r="L700" t="n">
        <v>0</v>
      </c>
      <c r="M700" t="n">
        <v>15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600</v>
      </c>
      <c r="T700" t="n">
        <v>0</v>
      </c>
      <c r="U700" t="n">
        <v>0</v>
      </c>
      <c r="V700" t="n">
        <v>0</v>
      </c>
      <c r="W700" t="n">
        <v>7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</row>
    <row r="701">
      <c r="A701" t="inlineStr">
        <is>
          <t>sanctity_necklace</t>
        </is>
      </c>
      <c r="B701" t="n">
        <v>512</v>
      </c>
      <c r="C701" t="n">
        <v>26023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10</v>
      </c>
      <c r="L701" t="n">
        <v>0</v>
      </c>
      <c r="M701" t="n">
        <v>10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</row>
    <row r="702">
      <c r="A702" t="inlineStr">
        <is>
          <t>savas_jawshan</t>
        </is>
      </c>
      <c r="B702" t="n">
        <v>32</v>
      </c>
      <c r="C702" t="n">
        <v>27862</v>
      </c>
      <c r="D702" t="n">
        <v>28</v>
      </c>
      <c r="E702" t="n">
        <v>21</v>
      </c>
      <c r="F702" t="n">
        <v>28</v>
      </c>
      <c r="G702" t="n">
        <v>21</v>
      </c>
      <c r="H702" t="n">
        <v>23</v>
      </c>
      <c r="I702" t="n">
        <v>21</v>
      </c>
      <c r="J702" t="n">
        <v>23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300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inlineStr">
        <is>
          <t>scamps_sollerets</t>
        </is>
      </c>
      <c r="B703" t="n">
        <v>256</v>
      </c>
      <c r="C703" t="n">
        <v>28312</v>
      </c>
      <c r="D703" t="n">
        <v>15</v>
      </c>
      <c r="E703" t="n">
        <v>17</v>
      </c>
      <c r="F703" t="n">
        <v>19</v>
      </c>
      <c r="G703" t="n">
        <v>32</v>
      </c>
      <c r="H703" t="n">
        <v>4</v>
      </c>
      <c r="I703" t="n">
        <v>10</v>
      </c>
      <c r="J703" t="n">
        <v>26</v>
      </c>
      <c r="K703" t="n">
        <v>0</v>
      </c>
      <c r="L703" t="n">
        <v>0</v>
      </c>
      <c r="M703" t="n">
        <v>17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300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</row>
    <row r="704">
      <c r="A704" t="inlineStr">
        <is>
          <t>scopuli_nails_+1</t>
        </is>
      </c>
      <c r="B704" t="n">
        <v>256</v>
      </c>
      <c r="C704" t="n">
        <v>28284</v>
      </c>
      <c r="D704" t="n">
        <v>12</v>
      </c>
      <c r="E704" t="n">
        <v>25</v>
      </c>
      <c r="F704" t="n">
        <v>12</v>
      </c>
      <c r="G704" t="n">
        <v>37</v>
      </c>
      <c r="H704" t="n">
        <v>0</v>
      </c>
      <c r="I704" t="n">
        <v>12</v>
      </c>
      <c r="J704" t="n">
        <v>29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400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</row>
    <row r="705">
      <c r="A705" t="inlineStr">
        <is>
          <t>scuff._cosciales</t>
        </is>
      </c>
      <c r="B705" t="n">
        <v>128</v>
      </c>
      <c r="C705" t="n">
        <v>28155</v>
      </c>
      <c r="D705" t="n">
        <v>33</v>
      </c>
      <c r="E705" t="n">
        <v>0</v>
      </c>
      <c r="F705" t="n">
        <v>24</v>
      </c>
      <c r="G705" t="n">
        <v>15</v>
      </c>
      <c r="H705" t="n">
        <v>26</v>
      </c>
      <c r="I705" t="n">
        <v>16</v>
      </c>
      <c r="J705" t="n">
        <v>12</v>
      </c>
      <c r="K705" t="n">
        <v>28</v>
      </c>
      <c r="L705" t="n">
        <v>0</v>
      </c>
      <c r="M705" t="n">
        <v>0</v>
      </c>
      <c r="N705" t="n">
        <v>0</v>
      </c>
      <c r="O705" t="n">
        <v>0</v>
      </c>
      <c r="P705" t="n">
        <v>2</v>
      </c>
      <c r="Q705" t="n">
        <v>0</v>
      </c>
      <c r="R705" t="n">
        <v>0</v>
      </c>
      <c r="S705" t="n">
        <v>500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</row>
    <row r="706">
      <c r="A706" t="inlineStr">
        <is>
          <t>seeth._bomblet_+1</t>
        </is>
      </c>
      <c r="B706" t="n">
        <v>8</v>
      </c>
      <c r="C706" t="n">
        <v>22255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13</v>
      </c>
      <c r="L706" t="n">
        <v>0</v>
      </c>
      <c r="M706" t="n">
        <v>13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inlineStr">
        <is>
          <t>seething_bomblet</t>
        </is>
      </c>
      <c r="B707" t="n">
        <v>8</v>
      </c>
      <c r="C707" t="n">
        <v>22254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12</v>
      </c>
      <c r="L707" t="n">
        <v>0</v>
      </c>
      <c r="M707" t="n">
        <v>12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</row>
    <row r="708">
      <c r="A708" t="inlineStr">
        <is>
          <t>seiokona_beret</t>
        </is>
      </c>
      <c r="B708" t="n">
        <v>16</v>
      </c>
      <c r="C708" t="n">
        <v>10418</v>
      </c>
      <c r="D708" t="n">
        <v>4</v>
      </c>
      <c r="E708" t="n">
        <v>0</v>
      </c>
      <c r="F708" t="n">
        <v>0</v>
      </c>
      <c r="G708" t="n">
        <v>0</v>
      </c>
      <c r="H708" t="n">
        <v>4</v>
      </c>
      <c r="I708" t="n">
        <v>4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</row>
    <row r="709">
      <c r="A709" t="inlineStr">
        <is>
          <t>seki_shuriken</t>
        </is>
      </c>
      <c r="B709" t="n">
        <v>8</v>
      </c>
      <c r="C709" t="n">
        <v>21391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13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2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</row>
    <row r="710">
      <c r="A710" t="inlineStr">
        <is>
          <t>shab._cuirass_+1</t>
        </is>
      </c>
      <c r="B710" t="n">
        <v>32</v>
      </c>
      <c r="C710" t="n">
        <v>27892</v>
      </c>
      <c r="D710" t="n">
        <v>31</v>
      </c>
      <c r="E710" t="n">
        <v>15</v>
      </c>
      <c r="F710" t="n">
        <v>31</v>
      </c>
      <c r="G710" t="n">
        <v>15</v>
      </c>
      <c r="H710" t="n">
        <v>15</v>
      </c>
      <c r="I710" t="n">
        <v>15</v>
      </c>
      <c r="J710" t="n">
        <v>15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300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inlineStr">
        <is>
          <t>shab._gauntlets_+1</t>
        </is>
      </c>
      <c r="B711" t="n">
        <v>64</v>
      </c>
      <c r="C711" t="n">
        <v>28039</v>
      </c>
      <c r="D711" t="n">
        <v>7</v>
      </c>
      <c r="E711" t="n">
        <v>24</v>
      </c>
      <c r="F711" t="n">
        <v>35</v>
      </c>
      <c r="G711" t="n">
        <v>0</v>
      </c>
      <c r="H711" t="n">
        <v>6</v>
      </c>
      <c r="I711" t="n">
        <v>21</v>
      </c>
      <c r="J711" t="n">
        <v>15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300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</row>
    <row r="712">
      <c r="A712" t="inlineStr">
        <is>
          <t>shab._sabatons_+1</t>
        </is>
      </c>
      <c r="B712" t="n">
        <v>256</v>
      </c>
      <c r="C712" t="n">
        <v>28317</v>
      </c>
      <c r="D712" t="n">
        <v>13</v>
      </c>
      <c r="E712" t="n">
        <v>10</v>
      </c>
      <c r="F712" t="n">
        <v>22</v>
      </c>
      <c r="G712" t="n">
        <v>24</v>
      </c>
      <c r="H712" t="n">
        <v>0</v>
      </c>
      <c r="I712" t="n">
        <v>7</v>
      </c>
      <c r="J712" t="n">
        <v>22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300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inlineStr">
        <is>
          <t>shabti_armet</t>
        </is>
      </c>
      <c r="B713" t="n">
        <v>16</v>
      </c>
      <c r="C713" t="n">
        <v>27748</v>
      </c>
      <c r="D713" t="n">
        <v>20</v>
      </c>
      <c r="E713" t="n">
        <v>15</v>
      </c>
      <c r="F713" t="n">
        <v>26</v>
      </c>
      <c r="G713" t="n">
        <v>15</v>
      </c>
      <c r="H713" t="n">
        <v>14</v>
      </c>
      <c r="I713" t="n">
        <v>14</v>
      </c>
      <c r="J713" t="n">
        <v>14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600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inlineStr">
        <is>
          <t>shabti_armet_+1</t>
        </is>
      </c>
      <c r="B714" t="n">
        <v>16</v>
      </c>
      <c r="C714" t="n">
        <v>27749</v>
      </c>
      <c r="D714" t="n">
        <v>22</v>
      </c>
      <c r="E714" t="n">
        <v>17</v>
      </c>
      <c r="F714" t="n">
        <v>29</v>
      </c>
      <c r="G714" t="n">
        <v>17</v>
      </c>
      <c r="H714" t="n">
        <v>16</v>
      </c>
      <c r="I714" t="n">
        <v>16</v>
      </c>
      <c r="J714" t="n">
        <v>16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600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inlineStr">
        <is>
          <t>shabti_cuirass</t>
        </is>
      </c>
      <c r="B715" t="n">
        <v>32</v>
      </c>
      <c r="C715" t="n">
        <v>27891</v>
      </c>
      <c r="D715" t="n">
        <v>28</v>
      </c>
      <c r="E715" t="n">
        <v>13</v>
      </c>
      <c r="F715" t="n">
        <v>28</v>
      </c>
      <c r="G715" t="n">
        <v>13</v>
      </c>
      <c r="H715" t="n">
        <v>13</v>
      </c>
      <c r="I715" t="n">
        <v>13</v>
      </c>
      <c r="J715" t="n">
        <v>13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300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inlineStr">
        <is>
          <t>shabti_cuisses</t>
        </is>
      </c>
      <c r="B716" t="n">
        <v>128</v>
      </c>
      <c r="C716" t="n">
        <v>28178</v>
      </c>
      <c r="D716" t="n">
        <v>27</v>
      </c>
      <c r="E716" t="n">
        <v>0</v>
      </c>
      <c r="F716" t="n">
        <v>23</v>
      </c>
      <c r="G716" t="n">
        <v>11</v>
      </c>
      <c r="H716" t="n">
        <v>18</v>
      </c>
      <c r="I716" t="n">
        <v>8</v>
      </c>
      <c r="J716" t="n">
        <v>6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500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inlineStr">
        <is>
          <t>shabti_cuisses_+1</t>
        </is>
      </c>
      <c r="B717" t="n">
        <v>128</v>
      </c>
      <c r="C717" t="n">
        <v>28179</v>
      </c>
      <c r="D717" t="n">
        <v>30</v>
      </c>
      <c r="E717" t="n">
        <v>0</v>
      </c>
      <c r="F717" t="n">
        <v>25</v>
      </c>
      <c r="G717" t="n">
        <v>13</v>
      </c>
      <c r="H717" t="n">
        <v>21</v>
      </c>
      <c r="I717" t="n">
        <v>10</v>
      </c>
      <c r="J717" t="n">
        <v>7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500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inlineStr">
        <is>
          <t>shabti_gauntlets</t>
        </is>
      </c>
      <c r="B718" t="n">
        <v>64</v>
      </c>
      <c r="C718" t="n">
        <v>28038</v>
      </c>
      <c r="D718" t="n">
        <v>6</v>
      </c>
      <c r="E718" t="n">
        <v>21</v>
      </c>
      <c r="F718" t="n">
        <v>33</v>
      </c>
      <c r="G718" t="n">
        <v>0</v>
      </c>
      <c r="H718" t="n">
        <v>5</v>
      </c>
      <c r="I718" t="n">
        <v>18</v>
      </c>
      <c r="J718" t="n">
        <v>13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300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inlineStr">
        <is>
          <t>shabti_sabatons</t>
        </is>
      </c>
      <c r="B719" t="n">
        <v>256</v>
      </c>
      <c r="C719" t="n">
        <v>28316</v>
      </c>
      <c r="D719" t="n">
        <v>11</v>
      </c>
      <c r="E719" t="n">
        <v>8</v>
      </c>
      <c r="F719" t="n">
        <v>20</v>
      </c>
      <c r="G719" t="n">
        <v>21</v>
      </c>
      <c r="H719" t="n">
        <v>0</v>
      </c>
      <c r="I719" t="n">
        <v>6</v>
      </c>
      <c r="J719" t="n">
        <v>19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300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inlineStr">
        <is>
          <t>shetal_stone</t>
        </is>
      </c>
      <c r="B720" t="n">
        <v>1024</v>
      </c>
      <c r="C720" t="n">
        <v>28445</v>
      </c>
      <c r="D720" t="n">
        <v>0</v>
      </c>
      <c r="E720" t="n">
        <v>0</v>
      </c>
      <c r="F720" t="n">
        <v>0</v>
      </c>
      <c r="G720" t="n">
        <v>5</v>
      </c>
      <c r="H720" t="n">
        <v>0</v>
      </c>
      <c r="I720" t="n">
        <v>0</v>
      </c>
      <c r="J720" t="n">
        <v>5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6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</row>
    <row r="721">
      <c r="A721" t="inlineStr">
        <is>
          <t>shifting_neck._+1</t>
        </is>
      </c>
      <c r="B721" t="n">
        <v>512</v>
      </c>
      <c r="C721" t="n">
        <v>28359</v>
      </c>
      <c r="D721" t="n">
        <v>0</v>
      </c>
      <c r="E721" t="n">
        <v>7</v>
      </c>
      <c r="F721" t="n">
        <v>0</v>
      </c>
      <c r="G721" t="n">
        <v>-5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8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</row>
    <row r="722">
      <c r="A722" t="inlineStr">
        <is>
          <t>shigure_tekko_+1</t>
        </is>
      </c>
      <c r="B722" t="n">
        <v>64</v>
      </c>
      <c r="C722" t="n">
        <v>27996</v>
      </c>
      <c r="D722" t="n">
        <v>10</v>
      </c>
      <c r="E722" t="n">
        <v>34</v>
      </c>
      <c r="F722" t="n">
        <v>28</v>
      </c>
      <c r="G722" t="n">
        <v>6</v>
      </c>
      <c r="H722" t="n">
        <v>10</v>
      </c>
      <c r="I722" t="n">
        <v>28</v>
      </c>
      <c r="J722" t="n">
        <v>16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500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inlineStr">
        <is>
          <t>shned._boots_+1</t>
        </is>
      </c>
      <c r="B723" t="n">
        <v>256</v>
      </c>
      <c r="C723" t="n">
        <v>28290</v>
      </c>
      <c r="D723" t="n">
        <v>12</v>
      </c>
      <c r="E723" t="n">
        <v>24</v>
      </c>
      <c r="F723" t="n">
        <v>12</v>
      </c>
      <c r="G723" t="n">
        <v>37</v>
      </c>
      <c r="H723" t="n">
        <v>0</v>
      </c>
      <c r="I723" t="n">
        <v>12</v>
      </c>
      <c r="J723" t="n">
        <v>30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400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</row>
    <row r="724">
      <c r="A724" t="inlineStr">
        <is>
          <t>shned._chapeau_+1</t>
        </is>
      </c>
      <c r="B724" t="n">
        <v>16</v>
      </c>
      <c r="C724" t="n">
        <v>27712</v>
      </c>
      <c r="D724" t="n">
        <v>22</v>
      </c>
      <c r="E724" t="n">
        <v>26</v>
      </c>
      <c r="F724" t="n">
        <v>22</v>
      </c>
      <c r="G724" t="n">
        <v>26</v>
      </c>
      <c r="H724" t="n">
        <v>22</v>
      </c>
      <c r="I724" t="n">
        <v>22</v>
      </c>
      <c r="J724" t="n">
        <v>23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800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</row>
    <row r="725">
      <c r="A725" t="inlineStr">
        <is>
          <t>shned._gloves_+1</t>
        </is>
      </c>
      <c r="B725" t="n">
        <v>64</v>
      </c>
      <c r="C725" t="n">
        <v>28011</v>
      </c>
      <c r="D725" t="n">
        <v>11</v>
      </c>
      <c r="E725" t="n">
        <v>35</v>
      </c>
      <c r="F725" t="n">
        <v>32</v>
      </c>
      <c r="G725" t="n">
        <v>5</v>
      </c>
      <c r="H725" t="n">
        <v>12</v>
      </c>
      <c r="I725" t="n">
        <v>30</v>
      </c>
      <c r="J725" t="n">
        <v>17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500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</row>
    <row r="726">
      <c r="A726" t="inlineStr">
        <is>
          <t>shned._tabard_+1</t>
        </is>
      </c>
      <c r="B726" t="n">
        <v>32</v>
      </c>
      <c r="C726" t="n">
        <v>27864</v>
      </c>
      <c r="D726" t="n">
        <v>29</v>
      </c>
      <c r="E726" t="n">
        <v>34</v>
      </c>
      <c r="F726" t="n">
        <v>29</v>
      </c>
      <c r="G726" t="n">
        <v>33</v>
      </c>
      <c r="H726" t="n">
        <v>28</v>
      </c>
      <c r="I726" t="n">
        <v>28</v>
      </c>
      <c r="J726" t="n">
        <v>28</v>
      </c>
      <c r="K726" t="n">
        <v>0</v>
      </c>
      <c r="L726" t="n">
        <v>0</v>
      </c>
      <c r="M726" t="n">
        <v>17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600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inlineStr">
        <is>
          <t>shned._tights_+1</t>
        </is>
      </c>
      <c r="B727" t="n">
        <v>128</v>
      </c>
      <c r="C727" t="n">
        <v>28153</v>
      </c>
      <c r="D727" t="n">
        <v>29</v>
      </c>
      <c r="E727" t="n">
        <v>0</v>
      </c>
      <c r="F727" t="n">
        <v>16</v>
      </c>
      <c r="G727" t="n">
        <v>20</v>
      </c>
      <c r="H727" t="n">
        <v>30</v>
      </c>
      <c r="I727" t="n">
        <v>17</v>
      </c>
      <c r="J727" t="n">
        <v>11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100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</row>
    <row r="728">
      <c r="A728" t="inlineStr">
        <is>
          <t>shneddick_boots</t>
        </is>
      </c>
      <c r="B728" t="n">
        <v>256</v>
      </c>
      <c r="C728" t="n">
        <v>28328</v>
      </c>
      <c r="D728" t="n">
        <v>6</v>
      </c>
      <c r="E728" t="n">
        <v>12</v>
      </c>
      <c r="F728" t="n">
        <v>6</v>
      </c>
      <c r="G728" t="n">
        <v>19</v>
      </c>
      <c r="H728" t="n">
        <v>0</v>
      </c>
      <c r="I728" t="n">
        <v>6</v>
      </c>
      <c r="J728" t="n">
        <v>16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400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inlineStr">
        <is>
          <t>shneddick_chapeau</t>
        </is>
      </c>
      <c r="B729" t="n">
        <v>16</v>
      </c>
      <c r="C729" t="n">
        <v>27762</v>
      </c>
      <c r="D729" t="n">
        <v>15</v>
      </c>
      <c r="E729" t="n">
        <v>17</v>
      </c>
      <c r="F729" t="n">
        <v>15</v>
      </c>
      <c r="G729" t="n">
        <v>17</v>
      </c>
      <c r="H729" t="n">
        <v>15</v>
      </c>
      <c r="I729" t="n">
        <v>15</v>
      </c>
      <c r="J729" t="n">
        <v>15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700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</row>
    <row r="730">
      <c r="A730" t="inlineStr">
        <is>
          <t>shneddick_gloves</t>
        </is>
      </c>
      <c r="B730" t="n">
        <v>64</v>
      </c>
      <c r="C730" t="n">
        <v>28047</v>
      </c>
      <c r="D730" t="n">
        <v>6</v>
      </c>
      <c r="E730" t="n">
        <v>19</v>
      </c>
      <c r="F730" t="n">
        <v>17</v>
      </c>
      <c r="G730" t="n">
        <v>2</v>
      </c>
      <c r="H730" t="n">
        <v>6</v>
      </c>
      <c r="I730" t="n">
        <v>16</v>
      </c>
      <c r="J730" t="n">
        <v>9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400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inlineStr">
        <is>
          <t>shneddick_tabard</t>
        </is>
      </c>
      <c r="B731" t="n">
        <v>32</v>
      </c>
      <c r="C731" t="n">
        <v>27908</v>
      </c>
      <c r="D731" t="n">
        <v>17</v>
      </c>
      <c r="E731" t="n">
        <v>20</v>
      </c>
      <c r="F731" t="n">
        <v>17</v>
      </c>
      <c r="G731" t="n">
        <v>19</v>
      </c>
      <c r="H731" t="n">
        <v>17</v>
      </c>
      <c r="I731" t="n">
        <v>17</v>
      </c>
      <c r="J731" t="n">
        <v>17</v>
      </c>
      <c r="K731" t="n">
        <v>0</v>
      </c>
      <c r="L731" t="n">
        <v>0</v>
      </c>
      <c r="M731" t="n">
        <v>15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500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inlineStr">
        <is>
          <t>shneddick_tights</t>
        </is>
      </c>
      <c r="B732" t="n">
        <v>128</v>
      </c>
      <c r="C732" t="n">
        <v>28189</v>
      </c>
      <c r="D732" t="n">
        <v>15</v>
      </c>
      <c r="E732" t="n">
        <v>0</v>
      </c>
      <c r="F732" t="n">
        <v>8</v>
      </c>
      <c r="G732" t="n">
        <v>10</v>
      </c>
      <c r="H732" t="n">
        <v>16</v>
      </c>
      <c r="I732" t="n">
        <v>9</v>
      </c>
      <c r="J732" t="n">
        <v>6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inlineStr">
        <is>
          <t>shukuyu_sune-ate</t>
        </is>
      </c>
      <c r="B733" t="n">
        <v>256</v>
      </c>
      <c r="C733" t="n">
        <v>27489</v>
      </c>
      <c r="D733" t="n">
        <v>16</v>
      </c>
      <c r="E733" t="n">
        <v>19</v>
      </c>
      <c r="F733" t="n">
        <v>11</v>
      </c>
      <c r="G733" t="n">
        <v>0</v>
      </c>
      <c r="H733" t="n">
        <v>38</v>
      </c>
      <c r="I733" t="n">
        <v>40</v>
      </c>
      <c r="J733" t="n">
        <v>19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300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</row>
    <row r="734">
      <c r="A734" t="inlineStr">
        <is>
          <t>sinew_belt</t>
        </is>
      </c>
      <c r="B734" t="n">
        <v>1024</v>
      </c>
      <c r="C734" t="n">
        <v>28417</v>
      </c>
      <c r="D734" t="n">
        <v>5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20</v>
      </c>
      <c r="L734" t="n">
        <v>0</v>
      </c>
      <c r="M734" t="n">
        <v>0</v>
      </c>
      <c r="N734" t="n">
        <v>0</v>
      </c>
      <c r="O734" t="n">
        <v>0</v>
      </c>
      <c r="P734" t="n">
        <v>4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</row>
    <row r="735">
      <c r="A735" t="inlineStr">
        <is>
          <t>skormoth_mask</t>
        </is>
      </c>
      <c r="B735" t="n">
        <v>16</v>
      </c>
      <c r="C735" t="n">
        <v>27783</v>
      </c>
      <c r="D735" t="n">
        <v>20</v>
      </c>
      <c r="E735" t="n">
        <v>22</v>
      </c>
      <c r="F735" t="n">
        <v>22</v>
      </c>
      <c r="G735" t="n">
        <v>22</v>
      </c>
      <c r="H735" t="n">
        <v>21</v>
      </c>
      <c r="I735" t="n">
        <v>21</v>
      </c>
      <c r="J735" t="n">
        <v>21</v>
      </c>
      <c r="K735" t="n">
        <v>0</v>
      </c>
      <c r="L735" t="n">
        <v>0</v>
      </c>
      <c r="M735" t="n">
        <v>26</v>
      </c>
      <c r="N735" t="n">
        <v>0</v>
      </c>
      <c r="O735" t="n">
        <v>0</v>
      </c>
      <c r="P735" t="n">
        <v>0</v>
      </c>
      <c r="Q735" t="n">
        <v>400</v>
      </c>
      <c r="R735" t="n">
        <v>0</v>
      </c>
      <c r="S735" t="n">
        <v>800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</row>
    <row r="736">
      <c r="A736" t="inlineStr">
        <is>
          <t>sljor_ring</t>
        </is>
      </c>
      <c r="B736" t="n">
        <v>24576</v>
      </c>
      <c r="C736" t="n">
        <v>10799</v>
      </c>
      <c r="D736" t="n">
        <v>3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-200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</row>
    <row r="737">
      <c r="A737" t="inlineStr">
        <is>
          <t>soku._sune-ate</t>
        </is>
      </c>
      <c r="B737" t="n">
        <v>256</v>
      </c>
      <c r="C737" t="n">
        <v>28280</v>
      </c>
      <c r="D737" t="n">
        <v>14</v>
      </c>
      <c r="E737" t="n">
        <v>15</v>
      </c>
      <c r="F737" t="n">
        <v>18</v>
      </c>
      <c r="G737" t="n">
        <v>34</v>
      </c>
      <c r="H737" t="n">
        <v>0</v>
      </c>
      <c r="I737" t="n">
        <v>12</v>
      </c>
      <c r="J737" t="n">
        <v>29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400</v>
      </c>
      <c r="T737" t="n">
        <v>0</v>
      </c>
      <c r="U737" t="n">
        <v>0</v>
      </c>
      <c r="V737" t="n">
        <v>0</v>
      </c>
      <c r="W737" t="n">
        <v>5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</row>
    <row r="738">
      <c r="A738" t="inlineStr">
        <is>
          <t>sombra_harn._+1</t>
        </is>
      </c>
      <c r="B738" t="n">
        <v>32</v>
      </c>
      <c r="C738" t="n">
        <v>26884</v>
      </c>
      <c r="D738" t="n">
        <v>30</v>
      </c>
      <c r="E738" t="n">
        <v>28</v>
      </c>
      <c r="F738" t="n">
        <v>23</v>
      </c>
      <c r="G738" t="n">
        <v>29</v>
      </c>
      <c r="H738" t="n">
        <v>30</v>
      </c>
      <c r="I738" t="n">
        <v>24</v>
      </c>
      <c r="J738" t="n">
        <v>24</v>
      </c>
      <c r="K738" t="n">
        <v>16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2</v>
      </c>
      <c r="R738" t="n">
        <v>0</v>
      </c>
      <c r="S738" t="n">
        <v>300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</row>
    <row r="739">
      <c r="A739" t="inlineStr">
        <is>
          <t>sombra_harness</t>
        </is>
      </c>
      <c r="B739" t="n">
        <v>32</v>
      </c>
      <c r="C739" t="n">
        <v>26883</v>
      </c>
      <c r="D739" t="n">
        <v>29</v>
      </c>
      <c r="E739" t="n">
        <v>28</v>
      </c>
      <c r="F739" t="n">
        <v>23</v>
      </c>
      <c r="G739" t="n">
        <v>29</v>
      </c>
      <c r="H739" t="n">
        <v>29</v>
      </c>
      <c r="I739" t="n">
        <v>24</v>
      </c>
      <c r="J739" t="n">
        <v>24</v>
      </c>
      <c r="K739" t="n">
        <v>15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300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</row>
    <row r="740">
      <c r="A740" t="inlineStr">
        <is>
          <t>sombra_leg._+1</t>
        </is>
      </c>
      <c r="B740" t="n">
        <v>256</v>
      </c>
      <c r="C740" t="n">
        <v>27399</v>
      </c>
      <c r="D740" t="n">
        <v>14</v>
      </c>
      <c r="E740" t="n">
        <v>20</v>
      </c>
      <c r="F740" t="n">
        <v>11</v>
      </c>
      <c r="G740" t="n">
        <v>35</v>
      </c>
      <c r="H740" t="n">
        <v>3</v>
      </c>
      <c r="I740" t="n">
        <v>11</v>
      </c>
      <c r="J740" t="n">
        <v>28</v>
      </c>
      <c r="K740" t="n">
        <v>8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300</v>
      </c>
      <c r="T740" t="n">
        <v>0</v>
      </c>
      <c r="U740" t="n">
        <v>0</v>
      </c>
      <c r="V740" t="n">
        <v>5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</row>
    <row r="741">
      <c r="A741" t="inlineStr">
        <is>
          <t>sombra_leggings</t>
        </is>
      </c>
      <c r="B741" t="n">
        <v>256</v>
      </c>
      <c r="C741" t="n">
        <v>27398</v>
      </c>
      <c r="D741" t="n">
        <v>13</v>
      </c>
      <c r="E741" t="n">
        <v>20</v>
      </c>
      <c r="F741" t="n">
        <v>11</v>
      </c>
      <c r="G741" t="n">
        <v>35</v>
      </c>
      <c r="H741" t="n">
        <v>2</v>
      </c>
      <c r="I741" t="n">
        <v>11</v>
      </c>
      <c r="J741" t="n">
        <v>28</v>
      </c>
      <c r="K741" t="n">
        <v>7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300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</row>
    <row r="742">
      <c r="A742" t="inlineStr">
        <is>
          <t>sombra_mit._+1</t>
        </is>
      </c>
      <c r="B742" t="n">
        <v>64</v>
      </c>
      <c r="C742" t="n">
        <v>27990</v>
      </c>
      <c r="D742" t="n">
        <v>7</v>
      </c>
      <c r="E742" t="n">
        <v>35</v>
      </c>
      <c r="F742" t="n">
        <v>26</v>
      </c>
      <c r="G742" t="n">
        <v>13</v>
      </c>
      <c r="H742" t="n">
        <v>17</v>
      </c>
      <c r="I742" t="n">
        <v>30</v>
      </c>
      <c r="J742" t="n">
        <v>17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400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</row>
    <row r="743">
      <c r="A743" t="inlineStr">
        <is>
          <t>sombra_tiara_+1</t>
        </is>
      </c>
      <c r="B743" t="n">
        <v>16</v>
      </c>
      <c r="C743" t="n">
        <v>26725</v>
      </c>
      <c r="D743" t="n">
        <v>23</v>
      </c>
      <c r="E743" t="n">
        <v>25</v>
      </c>
      <c r="F743" t="n">
        <v>22</v>
      </c>
      <c r="G743" t="n">
        <v>25</v>
      </c>
      <c r="H743" t="n">
        <v>22</v>
      </c>
      <c r="I743" t="n">
        <v>22</v>
      </c>
      <c r="J743" t="n">
        <v>22</v>
      </c>
      <c r="K743" t="n">
        <v>0</v>
      </c>
      <c r="L743" t="n">
        <v>0</v>
      </c>
      <c r="M743" t="n">
        <v>11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700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</row>
    <row r="744">
      <c r="A744" t="inlineStr">
        <is>
          <t>sombra_tights_+1</t>
        </is>
      </c>
      <c r="B744" t="n">
        <v>128</v>
      </c>
      <c r="C744" t="n">
        <v>27227</v>
      </c>
      <c r="D744" t="n">
        <v>28</v>
      </c>
      <c r="E744" t="n">
        <v>6</v>
      </c>
      <c r="F744" t="n">
        <v>15</v>
      </c>
      <c r="G744" t="n">
        <v>29</v>
      </c>
      <c r="H744" t="n">
        <v>30</v>
      </c>
      <c r="I744" t="n">
        <v>17</v>
      </c>
      <c r="J744" t="n">
        <v>11</v>
      </c>
      <c r="K744" t="n">
        <v>0</v>
      </c>
      <c r="L744" t="n">
        <v>0</v>
      </c>
      <c r="M744" t="n">
        <v>11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500</v>
      </c>
      <c r="T744" t="n">
        <v>0</v>
      </c>
      <c r="U744" t="n">
        <v>0</v>
      </c>
      <c r="V744" t="n">
        <v>4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</row>
    <row r="745">
      <c r="A745" t="inlineStr">
        <is>
          <t>souv._cuirass_+1</t>
        </is>
      </c>
      <c r="B745" t="n">
        <v>32</v>
      </c>
      <c r="C745" t="n">
        <v>26847</v>
      </c>
      <c r="D745" t="n">
        <v>29</v>
      </c>
      <c r="E745" t="n">
        <v>17</v>
      </c>
      <c r="F745" t="n">
        <v>32</v>
      </c>
      <c r="G745" t="n">
        <v>17</v>
      </c>
      <c r="H745" t="n">
        <v>16</v>
      </c>
      <c r="I745" t="n">
        <v>16</v>
      </c>
      <c r="J745" t="n">
        <v>16</v>
      </c>
      <c r="K745" t="n">
        <v>0</v>
      </c>
      <c r="L745" t="n">
        <v>0</v>
      </c>
      <c r="M745" t="n">
        <v>38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300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</row>
    <row r="746">
      <c r="A746" t="inlineStr">
        <is>
          <t>souv._diechlings_+1</t>
        </is>
      </c>
      <c r="B746" t="n">
        <v>128</v>
      </c>
      <c r="C746" t="n">
        <v>27199</v>
      </c>
      <c r="D746" t="n">
        <v>35</v>
      </c>
      <c r="E746" t="n">
        <v>0</v>
      </c>
      <c r="F746" t="n">
        <v>23</v>
      </c>
      <c r="G746" t="n">
        <v>15</v>
      </c>
      <c r="H746" t="n">
        <v>26</v>
      </c>
      <c r="I746" t="n">
        <v>10</v>
      </c>
      <c r="J746" t="n">
        <v>7</v>
      </c>
      <c r="K746" t="n">
        <v>0</v>
      </c>
      <c r="L746" t="n">
        <v>0</v>
      </c>
      <c r="M746" t="n">
        <v>36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500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</row>
    <row r="747">
      <c r="A747" t="inlineStr">
        <is>
          <t>souv._handsch._+1</t>
        </is>
      </c>
      <c r="B747" t="n">
        <v>64</v>
      </c>
      <c r="C747" t="n">
        <v>27023</v>
      </c>
      <c r="D747" t="n">
        <v>12</v>
      </c>
      <c r="E747" t="n">
        <v>28</v>
      </c>
      <c r="F747" t="n">
        <v>34</v>
      </c>
      <c r="G747" t="n">
        <v>0</v>
      </c>
      <c r="H747" t="n">
        <v>6</v>
      </c>
      <c r="I747" t="n">
        <v>21</v>
      </c>
      <c r="J747" t="n">
        <v>16</v>
      </c>
      <c r="K747" t="n">
        <v>32</v>
      </c>
      <c r="L747" t="n">
        <v>0</v>
      </c>
      <c r="M747" t="n">
        <v>32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400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</row>
    <row r="748">
      <c r="A748" t="inlineStr">
        <is>
          <t>souv._handschuhs</t>
        </is>
      </c>
      <c r="B748" t="n">
        <v>64</v>
      </c>
      <c r="C748" t="n">
        <v>27022</v>
      </c>
      <c r="D748" t="n">
        <v>12</v>
      </c>
      <c r="E748" t="n">
        <v>28</v>
      </c>
      <c r="F748" t="n">
        <v>34</v>
      </c>
      <c r="G748" t="n">
        <v>0</v>
      </c>
      <c r="H748" t="n">
        <v>6</v>
      </c>
      <c r="I748" t="n">
        <v>21</v>
      </c>
      <c r="J748" t="n">
        <v>16</v>
      </c>
      <c r="K748" t="n">
        <v>22</v>
      </c>
      <c r="L748" t="n">
        <v>0</v>
      </c>
      <c r="M748" t="n">
        <v>22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400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</row>
    <row r="749">
      <c r="A749" t="inlineStr">
        <is>
          <t>souv._schaller_+1</t>
        </is>
      </c>
      <c r="B749" t="n">
        <v>16</v>
      </c>
      <c r="C749" t="n">
        <v>26671</v>
      </c>
      <c r="D749" t="n">
        <v>21</v>
      </c>
      <c r="E749" t="n">
        <v>15</v>
      </c>
      <c r="F749" t="n">
        <v>38</v>
      </c>
      <c r="G749" t="n">
        <v>15</v>
      </c>
      <c r="H749" t="n">
        <v>8</v>
      </c>
      <c r="I749" t="n">
        <v>8</v>
      </c>
      <c r="J749" t="n">
        <v>8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700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</row>
    <row r="750">
      <c r="A750" t="inlineStr">
        <is>
          <t>souveran_cuirass</t>
        </is>
      </c>
      <c r="B750" t="n">
        <v>32</v>
      </c>
      <c r="C750" t="n">
        <v>26846</v>
      </c>
      <c r="D750" t="n">
        <v>29</v>
      </c>
      <c r="E750" t="n">
        <v>17</v>
      </c>
      <c r="F750" t="n">
        <v>32</v>
      </c>
      <c r="G750" t="n">
        <v>17</v>
      </c>
      <c r="H750" t="n">
        <v>16</v>
      </c>
      <c r="I750" t="n">
        <v>16</v>
      </c>
      <c r="J750" t="n">
        <v>16</v>
      </c>
      <c r="K750" t="n">
        <v>0</v>
      </c>
      <c r="L750" t="n">
        <v>0</v>
      </c>
      <c r="M750" t="n">
        <v>28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300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</row>
    <row r="751">
      <c r="A751" t="inlineStr">
        <is>
          <t>souveran_diechlings</t>
        </is>
      </c>
      <c r="B751" t="n">
        <v>128</v>
      </c>
      <c r="C751" t="n">
        <v>27198</v>
      </c>
      <c r="D751" t="n">
        <v>35</v>
      </c>
      <c r="E751" t="n">
        <v>0</v>
      </c>
      <c r="F751" t="n">
        <v>23</v>
      </c>
      <c r="G751" t="n">
        <v>15</v>
      </c>
      <c r="H751" t="n">
        <v>26</v>
      </c>
      <c r="I751" t="n">
        <v>10</v>
      </c>
      <c r="J751" t="n">
        <v>7</v>
      </c>
      <c r="K751" t="n">
        <v>0</v>
      </c>
      <c r="L751" t="n">
        <v>0</v>
      </c>
      <c r="M751" t="n">
        <v>26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500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</row>
    <row r="752">
      <c r="A752" t="inlineStr">
        <is>
          <t>souveran_schaller</t>
        </is>
      </c>
      <c r="B752" t="n">
        <v>16</v>
      </c>
      <c r="C752" t="n">
        <v>26670</v>
      </c>
      <c r="D752" t="n">
        <v>21</v>
      </c>
      <c r="E752" t="n">
        <v>15</v>
      </c>
      <c r="F752" t="n">
        <v>38</v>
      </c>
      <c r="G752" t="n">
        <v>15</v>
      </c>
      <c r="H752" t="n">
        <v>8</v>
      </c>
      <c r="I752" t="n">
        <v>8</v>
      </c>
      <c r="J752" t="n">
        <v>8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700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</row>
    <row r="753">
      <c r="A753" t="inlineStr">
        <is>
          <t>souveran_schuhs</t>
        </is>
      </c>
      <c r="B753" t="n">
        <v>256</v>
      </c>
      <c r="C753" t="n">
        <v>27374</v>
      </c>
      <c r="D753" t="n">
        <v>19</v>
      </c>
      <c r="E753" t="n">
        <v>12</v>
      </c>
      <c r="F753" t="n">
        <v>20</v>
      </c>
      <c r="G753" t="n">
        <v>28</v>
      </c>
      <c r="H753" t="n">
        <v>0</v>
      </c>
      <c r="I753" t="n">
        <v>7</v>
      </c>
      <c r="J753" t="n">
        <v>20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300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</row>
    <row r="754">
      <c r="A754" t="inlineStr">
        <is>
          <t>souveran_schuhs_+1</t>
        </is>
      </c>
      <c r="B754" t="n">
        <v>256</v>
      </c>
      <c r="C754" t="n">
        <v>27375</v>
      </c>
      <c r="D754" t="n">
        <v>19</v>
      </c>
      <c r="E754" t="n">
        <v>12</v>
      </c>
      <c r="F754" t="n">
        <v>20</v>
      </c>
      <c r="G754" t="n">
        <v>28</v>
      </c>
      <c r="H754" t="n">
        <v>0</v>
      </c>
      <c r="I754" t="n">
        <v>7</v>
      </c>
      <c r="J754" t="n">
        <v>20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300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</row>
    <row r="755">
      <c r="A755" t="inlineStr">
        <is>
          <t>sroda_ring</t>
        </is>
      </c>
      <c r="B755" t="n">
        <v>24576</v>
      </c>
      <c r="C755" t="n">
        <v>26221</v>
      </c>
      <c r="D755" t="n">
        <v>15</v>
      </c>
      <c r="E755" t="n">
        <v>-20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</row>
    <row r="756">
      <c r="A756" t="inlineStr">
        <is>
          <t>steelflash_earring</t>
        </is>
      </c>
      <c r="B756" t="n">
        <v>6144</v>
      </c>
      <c r="C756" t="n">
        <v>28520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8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</row>
    <row r="757">
      <c r="A757" t="inlineStr">
        <is>
          <t>sukeroku_hachi.</t>
        </is>
      </c>
      <c r="B757" t="n">
        <v>16</v>
      </c>
      <c r="C757" t="n">
        <v>27719</v>
      </c>
      <c r="D757" t="n">
        <v>25</v>
      </c>
      <c r="E757" t="n">
        <v>20</v>
      </c>
      <c r="F757" t="n">
        <v>20</v>
      </c>
      <c r="G757" t="n">
        <v>20</v>
      </c>
      <c r="H757" t="n">
        <v>20</v>
      </c>
      <c r="I757" t="n">
        <v>20</v>
      </c>
      <c r="J757" t="n">
        <v>20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30</v>
      </c>
      <c r="AC757" t="n">
        <v>0</v>
      </c>
    </row>
    <row r="758">
      <c r="A758" t="inlineStr">
        <is>
          <t>sulev._gauntlets_+1</t>
        </is>
      </c>
      <c r="B758" t="n">
        <v>64</v>
      </c>
      <c r="C758" t="n">
        <v>25801</v>
      </c>
      <c r="D758" t="n">
        <v>20</v>
      </c>
      <c r="E758" t="n">
        <v>31</v>
      </c>
      <c r="F758" t="n">
        <v>42</v>
      </c>
      <c r="G758" t="n">
        <v>0</v>
      </c>
      <c r="H758" t="n">
        <v>6</v>
      </c>
      <c r="I758" t="n">
        <v>29</v>
      </c>
      <c r="J758" t="n">
        <v>24</v>
      </c>
      <c r="K758" t="n">
        <v>41</v>
      </c>
      <c r="L758" t="n">
        <v>0</v>
      </c>
      <c r="M758" t="n">
        <v>37</v>
      </c>
      <c r="N758" t="n">
        <v>0</v>
      </c>
      <c r="O758" t="n">
        <v>0</v>
      </c>
      <c r="P758" t="n">
        <v>5</v>
      </c>
      <c r="Q758" t="n">
        <v>0</v>
      </c>
      <c r="R758" t="n">
        <v>0</v>
      </c>
      <c r="S758" t="n">
        <v>300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</row>
    <row r="759">
      <c r="A759" t="inlineStr">
        <is>
          <t>sulevias_mask_+2</t>
        </is>
      </c>
      <c r="B759" t="n">
        <v>16</v>
      </c>
      <c r="C759" t="n">
        <v>25574</v>
      </c>
      <c r="D759" t="n">
        <v>33</v>
      </c>
      <c r="E759" t="n">
        <v>19</v>
      </c>
      <c r="F759" t="n">
        <v>40</v>
      </c>
      <c r="G759" t="n">
        <v>12</v>
      </c>
      <c r="H759" t="n">
        <v>11</v>
      </c>
      <c r="I759" t="n">
        <v>22</v>
      </c>
      <c r="J759" t="n">
        <v>22</v>
      </c>
      <c r="K759" t="n">
        <v>48</v>
      </c>
      <c r="L759" t="n">
        <v>0</v>
      </c>
      <c r="M759" t="n">
        <v>44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300</v>
      </c>
      <c r="T759" t="n">
        <v>0</v>
      </c>
      <c r="U759" t="n">
        <v>0</v>
      </c>
      <c r="V759" t="n">
        <v>0</v>
      </c>
      <c r="W759" t="n">
        <v>10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</row>
    <row r="760">
      <c r="A760" t="inlineStr">
        <is>
          <t>sulla_belt</t>
        </is>
      </c>
      <c r="B760" t="n">
        <v>1024</v>
      </c>
      <c r="C760" t="n">
        <v>28410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30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</row>
    <row r="761">
      <c r="A761" t="inlineStr">
        <is>
          <t>supershear_ring</t>
        </is>
      </c>
      <c r="B761" t="n">
        <v>24576</v>
      </c>
      <c r="C761" t="n">
        <v>28535</v>
      </c>
      <c r="D761" t="n">
        <v>0</v>
      </c>
      <c r="E761" t="n">
        <v>0</v>
      </c>
      <c r="F761" t="n">
        <v>5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7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</row>
    <row r="762">
      <c r="A762" t="inlineStr">
        <is>
          <t>svelt._gouriz_+1</t>
        </is>
      </c>
      <c r="B762" t="n">
        <v>1024</v>
      </c>
      <c r="C762" t="n">
        <v>28436</v>
      </c>
      <c r="D762" t="n">
        <v>0</v>
      </c>
      <c r="E762" t="n">
        <v>0</v>
      </c>
      <c r="F762" t="n">
        <v>0</v>
      </c>
      <c r="G762" t="n">
        <v>10</v>
      </c>
      <c r="H762" t="n">
        <v>0</v>
      </c>
      <c r="I762" t="n">
        <v>0</v>
      </c>
      <c r="J762" t="n">
        <v>0</v>
      </c>
      <c r="K762" t="n">
        <v>-5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</row>
    <row r="763">
      <c r="A763" t="inlineStr">
        <is>
          <t>sverrir_torque</t>
        </is>
      </c>
      <c r="B763" t="n">
        <v>512</v>
      </c>
      <c r="C763" t="n">
        <v>28396</v>
      </c>
      <c r="D763" t="n">
        <v>3</v>
      </c>
      <c r="E763" t="n">
        <v>3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</row>
    <row r="764">
      <c r="A764" t="inlineStr">
        <is>
          <t>sweordfaetels</t>
        </is>
      </c>
      <c r="B764" t="n">
        <v>1024</v>
      </c>
      <c r="C764" t="n">
        <v>28446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15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300</v>
      </c>
      <c r="T764" t="n">
        <v>0</v>
      </c>
      <c r="U764" t="n">
        <v>0</v>
      </c>
      <c r="V764" t="n">
        <v>0</v>
      </c>
      <c r="W764" t="n">
        <v>4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inlineStr">
        <is>
          <t>sweordfaetels_+1</t>
        </is>
      </c>
      <c r="B765" t="n">
        <v>1024</v>
      </c>
      <c r="C765" t="n">
        <v>28447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18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400</v>
      </c>
      <c r="T765" t="n">
        <v>0</v>
      </c>
      <c r="U765" t="n">
        <v>0</v>
      </c>
      <c r="V765" t="n">
        <v>0</v>
      </c>
      <c r="W765" t="n">
        <v>6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</row>
    <row r="766">
      <c r="A766" t="inlineStr">
        <is>
          <t>sworn_brais</t>
        </is>
      </c>
      <c r="B766" t="n">
        <v>128</v>
      </c>
      <c r="C766" t="n">
        <v>24146</v>
      </c>
      <c r="D766" t="n">
        <v>51</v>
      </c>
      <c r="E766" t="n">
        <v>0</v>
      </c>
      <c r="F766" t="n">
        <v>43</v>
      </c>
      <c r="G766" t="n">
        <v>28</v>
      </c>
      <c r="H766" t="n">
        <v>39</v>
      </c>
      <c r="I766" t="n">
        <v>32</v>
      </c>
      <c r="J766" t="n">
        <v>20</v>
      </c>
      <c r="K766" t="n">
        <v>42</v>
      </c>
      <c r="L766" t="n">
        <v>0</v>
      </c>
      <c r="M766" t="n">
        <v>42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500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</row>
    <row r="767">
      <c r="A767" t="inlineStr">
        <is>
          <t>sworn_crown</t>
        </is>
      </c>
      <c r="B767" t="n">
        <v>16</v>
      </c>
      <c r="C767" t="n">
        <v>24137</v>
      </c>
      <c r="D767" t="n">
        <v>36</v>
      </c>
      <c r="E767" t="n">
        <v>29</v>
      </c>
      <c r="F767" t="n">
        <v>49</v>
      </c>
      <c r="G767" t="n">
        <v>26</v>
      </c>
      <c r="H767" t="n">
        <v>26</v>
      </c>
      <c r="I767" t="n">
        <v>34</v>
      </c>
      <c r="J767" t="n">
        <v>24</v>
      </c>
      <c r="K767" t="n">
        <v>42</v>
      </c>
      <c r="L767" t="n">
        <v>0</v>
      </c>
      <c r="M767" t="n">
        <v>42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500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</row>
    <row r="768">
      <c r="A768" t="inlineStr">
        <is>
          <t>sworn_gauntlets</t>
        </is>
      </c>
      <c r="B768" t="n">
        <v>64</v>
      </c>
      <c r="C768" t="n">
        <v>24143</v>
      </c>
      <c r="D768" t="n">
        <v>27</v>
      </c>
      <c r="E768" t="n">
        <v>44</v>
      </c>
      <c r="F768" t="n">
        <v>55</v>
      </c>
      <c r="G768" t="n">
        <v>0</v>
      </c>
      <c r="H768" t="n">
        <v>21</v>
      </c>
      <c r="I768" t="n">
        <v>44</v>
      </c>
      <c r="J768" t="n">
        <v>29</v>
      </c>
      <c r="K768" t="n">
        <v>42</v>
      </c>
      <c r="L768" t="n">
        <v>0</v>
      </c>
      <c r="M768" t="n">
        <v>42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500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</row>
    <row r="769">
      <c r="A769" t="inlineStr">
        <is>
          <t>sworn_platemail</t>
        </is>
      </c>
      <c r="B769" t="n">
        <v>32</v>
      </c>
      <c r="C769" t="n">
        <v>24140</v>
      </c>
      <c r="D769" t="n">
        <v>45</v>
      </c>
      <c r="E769" t="n">
        <v>34</v>
      </c>
      <c r="F769" t="n">
        <v>51</v>
      </c>
      <c r="G769" t="n">
        <v>30</v>
      </c>
      <c r="H769" t="n">
        <v>31</v>
      </c>
      <c r="I769" t="n">
        <v>39</v>
      </c>
      <c r="J769" t="n">
        <v>29</v>
      </c>
      <c r="K769" t="n">
        <v>42</v>
      </c>
      <c r="L769" t="n">
        <v>0</v>
      </c>
      <c r="M769" t="n">
        <v>42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300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</row>
    <row r="770">
      <c r="A770" t="inlineStr">
        <is>
          <t>sworn_sabatons</t>
        </is>
      </c>
      <c r="B770" t="n">
        <v>256</v>
      </c>
      <c r="C770" t="n">
        <v>24149</v>
      </c>
      <c r="D770" t="n">
        <v>32</v>
      </c>
      <c r="E770" t="n">
        <v>29</v>
      </c>
      <c r="F770" t="n">
        <v>39</v>
      </c>
      <c r="G770" t="n">
        <v>40</v>
      </c>
      <c r="H770" t="n">
        <v>0</v>
      </c>
      <c r="I770" t="n">
        <v>30</v>
      </c>
      <c r="J770" t="n">
        <v>35</v>
      </c>
      <c r="K770" t="n">
        <v>42</v>
      </c>
      <c r="L770" t="n">
        <v>0</v>
      </c>
      <c r="M770" t="n">
        <v>42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300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</row>
    <row r="771">
      <c r="A771" t="inlineStr">
        <is>
          <t>taeon_boots</t>
        </is>
      </c>
      <c r="B771" t="n">
        <v>256</v>
      </c>
      <c r="C771" t="n">
        <v>27404</v>
      </c>
      <c r="D771" t="n">
        <v>10</v>
      </c>
      <c r="E771" t="n">
        <v>22</v>
      </c>
      <c r="F771" t="n">
        <v>10</v>
      </c>
      <c r="G771" t="n">
        <v>37</v>
      </c>
      <c r="H771" t="n">
        <v>0</v>
      </c>
      <c r="I771" t="n">
        <v>10</v>
      </c>
      <c r="J771" t="n">
        <v>28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400</v>
      </c>
      <c r="T771" t="n">
        <v>0</v>
      </c>
      <c r="U771" t="n">
        <v>0</v>
      </c>
      <c r="V771" t="n">
        <v>7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</row>
    <row r="772">
      <c r="A772" t="inlineStr">
        <is>
          <t>taeon_chapeau</t>
        </is>
      </c>
      <c r="B772" t="n">
        <v>16</v>
      </c>
      <c r="C772" t="n">
        <v>26735</v>
      </c>
      <c r="D772" t="n">
        <v>16</v>
      </c>
      <c r="E772" t="n">
        <v>23</v>
      </c>
      <c r="F772" t="n">
        <v>16</v>
      </c>
      <c r="G772" t="n">
        <v>23</v>
      </c>
      <c r="H772" t="n">
        <v>16</v>
      </c>
      <c r="I772" t="n">
        <v>16</v>
      </c>
      <c r="J772" t="n">
        <v>17</v>
      </c>
      <c r="K772" t="n">
        <v>0</v>
      </c>
      <c r="L772" t="n">
        <v>0</v>
      </c>
      <c r="M772" t="n">
        <v>0</v>
      </c>
      <c r="N772" t="n">
        <v>10</v>
      </c>
      <c r="O772" t="n">
        <v>0</v>
      </c>
      <c r="P772" t="n">
        <v>0</v>
      </c>
      <c r="Q772" t="n">
        <v>0</v>
      </c>
      <c r="R772" t="n">
        <v>0</v>
      </c>
      <c r="S772" t="n">
        <v>800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inlineStr">
        <is>
          <t>taeon_gloves</t>
        </is>
      </c>
      <c r="B773" t="n">
        <v>64</v>
      </c>
      <c r="C773" t="n">
        <v>27047</v>
      </c>
      <c r="D773" t="n">
        <v>9</v>
      </c>
      <c r="E773" t="n">
        <v>35</v>
      </c>
      <c r="F773" t="n">
        <v>30</v>
      </c>
      <c r="G773" t="n">
        <v>3</v>
      </c>
      <c r="H773" t="n">
        <v>10</v>
      </c>
      <c r="I773" t="n">
        <v>28</v>
      </c>
      <c r="J773" t="n">
        <v>15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500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</row>
    <row r="774">
      <c r="A774" t="inlineStr">
        <is>
          <t>taeon_tabard</t>
        </is>
      </c>
      <c r="B774" t="n">
        <v>32</v>
      </c>
      <c r="C774" t="n">
        <v>26893</v>
      </c>
      <c r="D774" t="n">
        <v>22</v>
      </c>
      <c r="E774" t="n">
        <v>29</v>
      </c>
      <c r="F774" t="n">
        <v>22</v>
      </c>
      <c r="G774" t="n">
        <v>28</v>
      </c>
      <c r="H774" t="n">
        <v>21</v>
      </c>
      <c r="I774" t="n">
        <v>21</v>
      </c>
      <c r="J774" t="n">
        <v>21</v>
      </c>
      <c r="K774" t="n">
        <v>10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400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</row>
    <row r="775">
      <c r="A775" t="inlineStr">
        <is>
          <t>taeon_tights</t>
        </is>
      </c>
      <c r="B775" t="n">
        <v>128</v>
      </c>
      <c r="C775" t="n">
        <v>27234</v>
      </c>
      <c r="D775" t="n">
        <v>27</v>
      </c>
      <c r="E775" t="n">
        <v>0</v>
      </c>
      <c r="F775" t="n">
        <v>14</v>
      </c>
      <c r="G775" t="n">
        <v>18</v>
      </c>
      <c r="H775" t="n">
        <v>28</v>
      </c>
      <c r="I775" t="n">
        <v>15</v>
      </c>
      <c r="J775" t="n">
        <v>9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2</v>
      </c>
      <c r="R775" t="n">
        <v>0</v>
      </c>
      <c r="S775" t="n">
        <v>600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</row>
    <row r="776">
      <c r="A776" t="inlineStr">
        <is>
          <t>tartarus_platemail</t>
        </is>
      </c>
      <c r="B776" t="n">
        <v>32</v>
      </c>
      <c r="C776" t="n">
        <v>26944</v>
      </c>
      <c r="D776" t="n">
        <v>29</v>
      </c>
      <c r="E776" t="n">
        <v>19</v>
      </c>
      <c r="F776" t="n">
        <v>29</v>
      </c>
      <c r="G776" t="n">
        <v>19</v>
      </c>
      <c r="H776" t="n">
        <v>19</v>
      </c>
      <c r="I776" t="n">
        <v>19</v>
      </c>
      <c r="J776" t="n">
        <v>19</v>
      </c>
      <c r="K776" t="n">
        <v>0</v>
      </c>
      <c r="L776" t="n">
        <v>0</v>
      </c>
      <c r="M776" t="n">
        <v>40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300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</row>
    <row r="777">
      <c r="A777" t="inlineStr">
        <is>
          <t>tatena._harama._+1</t>
        </is>
      </c>
      <c r="B777" t="n">
        <v>32</v>
      </c>
      <c r="C777" t="n">
        <v>25733</v>
      </c>
      <c r="D777" t="n">
        <v>28</v>
      </c>
      <c r="E777" t="n">
        <v>24</v>
      </c>
      <c r="F777" t="n">
        <v>28</v>
      </c>
      <c r="G777" t="n">
        <v>19</v>
      </c>
      <c r="H777" t="n">
        <v>19</v>
      </c>
      <c r="I777" t="n">
        <v>19</v>
      </c>
      <c r="J777" t="n">
        <v>19</v>
      </c>
      <c r="K777" t="n">
        <v>35</v>
      </c>
      <c r="L777" t="n">
        <v>0</v>
      </c>
      <c r="M777" t="n">
        <v>35</v>
      </c>
      <c r="N777" t="n">
        <v>6</v>
      </c>
      <c r="O777" t="n">
        <v>0</v>
      </c>
      <c r="P777" t="n">
        <v>0</v>
      </c>
      <c r="Q777" t="n">
        <v>0</v>
      </c>
      <c r="R777" t="n">
        <v>0</v>
      </c>
      <c r="S777" t="n">
        <v>300</v>
      </c>
      <c r="T777" t="n">
        <v>0</v>
      </c>
      <c r="U777" t="n">
        <v>0</v>
      </c>
      <c r="V777" t="n">
        <v>0</v>
      </c>
      <c r="W777" t="n">
        <v>5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</row>
    <row r="778">
      <c r="A778" t="inlineStr">
        <is>
          <t>tati_earring</t>
        </is>
      </c>
      <c r="B778" t="n">
        <v>6144</v>
      </c>
      <c r="C778" t="n">
        <v>28526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15</v>
      </c>
      <c r="L778" t="n">
        <v>0</v>
      </c>
      <c r="M778" t="n">
        <v>5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</row>
    <row r="779">
      <c r="A779" t="inlineStr">
        <is>
          <t>tati_earring_+1</t>
        </is>
      </c>
      <c r="B779" t="n">
        <v>6144</v>
      </c>
      <c r="C779" t="n">
        <v>28527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16</v>
      </c>
      <c r="L779" t="n">
        <v>0</v>
      </c>
      <c r="M779" t="n">
        <v>6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</row>
    <row r="780">
      <c r="A780" t="inlineStr">
        <is>
          <t>tema._headband</t>
        </is>
      </c>
      <c r="B780" t="n">
        <v>16</v>
      </c>
      <c r="C780" t="n">
        <v>27743</v>
      </c>
      <c r="D780" t="n">
        <v>7</v>
      </c>
      <c r="E780" t="n">
        <v>7</v>
      </c>
      <c r="F780" t="n">
        <v>7</v>
      </c>
      <c r="G780" t="n">
        <v>7</v>
      </c>
      <c r="H780" t="n">
        <v>9</v>
      </c>
      <c r="I780" t="n">
        <v>9</v>
      </c>
      <c r="J780" t="n">
        <v>9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500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inlineStr">
        <is>
          <t>temachtiani_boots</t>
        </is>
      </c>
      <c r="B781" t="n">
        <v>256</v>
      </c>
      <c r="C781" t="n">
        <v>28309</v>
      </c>
      <c r="D781" t="n">
        <v>5</v>
      </c>
      <c r="E781" t="n">
        <v>5</v>
      </c>
      <c r="F781" t="n">
        <v>5</v>
      </c>
      <c r="G781" t="n">
        <v>16</v>
      </c>
      <c r="H781" t="n">
        <v>8</v>
      </c>
      <c r="I781" t="n">
        <v>9</v>
      </c>
      <c r="J781" t="n">
        <v>17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300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</row>
    <row r="782">
      <c r="A782" t="inlineStr">
        <is>
          <t>temachtiani_gloves</t>
        </is>
      </c>
      <c r="B782" t="n">
        <v>64</v>
      </c>
      <c r="C782" t="n">
        <v>28032</v>
      </c>
      <c r="D782" t="n">
        <v>3</v>
      </c>
      <c r="E782" t="n">
        <v>14</v>
      </c>
      <c r="F782" t="n">
        <v>12</v>
      </c>
      <c r="G782" t="n">
        <v>2</v>
      </c>
      <c r="H782" t="n">
        <v>9</v>
      </c>
      <c r="I782" t="n">
        <v>16</v>
      </c>
      <c r="J782" t="n">
        <v>9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300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</row>
    <row r="783">
      <c r="A783" t="inlineStr">
        <is>
          <t>temachtiani_pants</t>
        </is>
      </c>
      <c r="B783" t="n">
        <v>128</v>
      </c>
      <c r="C783" t="n">
        <v>28171</v>
      </c>
      <c r="D783" t="n">
        <v>12</v>
      </c>
      <c r="E783" t="n">
        <v>0</v>
      </c>
      <c r="F783" t="n">
        <v>6</v>
      </c>
      <c r="G783" t="n">
        <v>8</v>
      </c>
      <c r="H783" t="n">
        <v>17</v>
      </c>
      <c r="I783" t="n">
        <v>12</v>
      </c>
      <c r="J783" t="n">
        <v>9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400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</row>
    <row r="784">
      <c r="A784" t="inlineStr">
        <is>
          <t>temachtiani_shirt</t>
        </is>
      </c>
      <c r="B784" t="n">
        <v>32</v>
      </c>
      <c r="C784" t="n">
        <v>27884</v>
      </c>
      <c r="D784" t="n">
        <v>10</v>
      </c>
      <c r="E784" t="n">
        <v>10</v>
      </c>
      <c r="F784" t="n">
        <v>10</v>
      </c>
      <c r="G784" t="n">
        <v>10</v>
      </c>
      <c r="H784" t="n">
        <v>14</v>
      </c>
      <c r="I784" t="n">
        <v>14</v>
      </c>
      <c r="J784" t="n">
        <v>14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200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</row>
    <row r="785">
      <c r="A785" t="inlineStr">
        <is>
          <t>tenryu_domaru</t>
        </is>
      </c>
      <c r="B785" t="n">
        <v>32</v>
      </c>
      <c r="C785" t="n">
        <v>11874</v>
      </c>
      <c r="D785" t="n">
        <v>6</v>
      </c>
      <c r="E785" t="n">
        <v>0</v>
      </c>
      <c r="F785" t="n">
        <v>0</v>
      </c>
      <c r="G785" t="n">
        <v>6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17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5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</row>
    <row r="786">
      <c r="A786" t="inlineStr">
        <is>
          <t>tenryu_domaru_+1</t>
        </is>
      </c>
      <c r="B786" t="n">
        <v>32</v>
      </c>
      <c r="C786" t="n">
        <v>10490</v>
      </c>
      <c r="D786" t="n">
        <v>9</v>
      </c>
      <c r="E786" t="n">
        <v>0</v>
      </c>
      <c r="F786" t="n">
        <v>0</v>
      </c>
      <c r="G786" t="n">
        <v>9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20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8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</row>
    <row r="787">
      <c r="A787" t="inlineStr">
        <is>
          <t>tenryu_hakama</t>
        </is>
      </c>
      <c r="B787" t="n">
        <v>128</v>
      </c>
      <c r="C787" t="n">
        <v>10566</v>
      </c>
      <c r="D787" t="n">
        <v>5</v>
      </c>
      <c r="E787" t="n">
        <v>5</v>
      </c>
      <c r="F787" t="n">
        <v>0</v>
      </c>
      <c r="G787" t="n">
        <v>5</v>
      </c>
      <c r="H787" t="n">
        <v>0</v>
      </c>
      <c r="I787" t="n">
        <v>0</v>
      </c>
      <c r="J787" t="n">
        <v>0</v>
      </c>
      <c r="K787" t="n">
        <v>9</v>
      </c>
      <c r="L787" t="n">
        <v>0</v>
      </c>
      <c r="M787" t="n">
        <v>9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3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</row>
    <row r="788">
      <c r="A788" t="inlineStr">
        <is>
          <t>tenryu_hakama_+1</t>
        </is>
      </c>
      <c r="B788" t="n">
        <v>128</v>
      </c>
      <c r="C788" t="n">
        <v>10571</v>
      </c>
      <c r="D788" t="n">
        <v>8</v>
      </c>
      <c r="E788" t="n">
        <v>8</v>
      </c>
      <c r="F788" t="n">
        <v>0</v>
      </c>
      <c r="G788" t="n">
        <v>8</v>
      </c>
      <c r="H788" t="n">
        <v>0</v>
      </c>
      <c r="I788" t="n">
        <v>0</v>
      </c>
      <c r="J788" t="n">
        <v>0</v>
      </c>
      <c r="K788" t="n">
        <v>12</v>
      </c>
      <c r="L788" t="n">
        <v>0</v>
      </c>
      <c r="M788" t="n">
        <v>12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6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</row>
    <row r="789">
      <c r="A789" t="inlineStr">
        <is>
          <t>tenryu_somen</t>
        </is>
      </c>
      <c r="B789" t="n">
        <v>16</v>
      </c>
      <c r="C789" t="n">
        <v>10401</v>
      </c>
      <c r="D789" t="n">
        <v>6</v>
      </c>
      <c r="E789" t="n">
        <v>0</v>
      </c>
      <c r="F789" t="n">
        <v>0</v>
      </c>
      <c r="G789" t="n">
        <v>6</v>
      </c>
      <c r="H789" t="n">
        <v>0</v>
      </c>
      <c r="I789" t="n">
        <v>0</v>
      </c>
      <c r="J789" t="n">
        <v>0</v>
      </c>
      <c r="K789" t="n">
        <v>9</v>
      </c>
      <c r="L789" t="n">
        <v>0</v>
      </c>
      <c r="M789" t="n">
        <v>9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</row>
    <row r="790">
      <c r="A790" t="inlineStr">
        <is>
          <t>tenryu_somen_+1</t>
        </is>
      </c>
      <c r="B790" t="n">
        <v>16</v>
      </c>
      <c r="C790" t="n">
        <v>10406</v>
      </c>
      <c r="D790" t="n">
        <v>9</v>
      </c>
      <c r="E790" t="n">
        <v>0</v>
      </c>
      <c r="F790" t="n">
        <v>0</v>
      </c>
      <c r="G790" t="n">
        <v>9</v>
      </c>
      <c r="H790" t="n">
        <v>0</v>
      </c>
      <c r="I790" t="n">
        <v>0</v>
      </c>
      <c r="J790" t="n">
        <v>0</v>
      </c>
      <c r="K790" t="n">
        <v>12</v>
      </c>
      <c r="L790" t="n">
        <v>0</v>
      </c>
      <c r="M790" t="n">
        <v>12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</row>
    <row r="791">
      <c r="A791" t="inlineStr">
        <is>
          <t>tenryu_sune-ate</t>
        </is>
      </c>
      <c r="B791" t="n">
        <v>256</v>
      </c>
      <c r="C791" t="n">
        <v>10632</v>
      </c>
      <c r="D791" t="n">
        <v>4</v>
      </c>
      <c r="E791" t="n">
        <v>0</v>
      </c>
      <c r="F791" t="n">
        <v>0</v>
      </c>
      <c r="G791" t="n">
        <v>4</v>
      </c>
      <c r="H791" t="n">
        <v>0</v>
      </c>
      <c r="I791" t="n">
        <v>0</v>
      </c>
      <c r="J791" t="n">
        <v>0</v>
      </c>
      <c r="K791" t="n">
        <v>10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</row>
    <row r="792">
      <c r="A792" t="inlineStr">
        <is>
          <t>tenryu_sune-ate_+1</t>
        </is>
      </c>
      <c r="B792" t="n">
        <v>256</v>
      </c>
      <c r="C792" t="n">
        <v>10637</v>
      </c>
      <c r="D792" t="n">
        <v>7</v>
      </c>
      <c r="E792" t="n">
        <v>0</v>
      </c>
      <c r="F792" t="n">
        <v>0</v>
      </c>
      <c r="G792" t="n">
        <v>7</v>
      </c>
      <c r="H792" t="n">
        <v>0</v>
      </c>
      <c r="I792" t="n">
        <v>0</v>
      </c>
      <c r="J792" t="n">
        <v>0</v>
      </c>
      <c r="K792" t="n">
        <v>13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</row>
    <row r="793">
      <c r="A793" t="inlineStr">
        <is>
          <t>tenryu_tekko</t>
        </is>
      </c>
      <c r="B793" t="n">
        <v>64</v>
      </c>
      <c r="C793" t="n">
        <v>10535</v>
      </c>
      <c r="D793" t="n">
        <v>5</v>
      </c>
      <c r="E793" t="n">
        <v>0</v>
      </c>
      <c r="F793" t="n">
        <v>0</v>
      </c>
      <c r="G793" t="n">
        <v>5</v>
      </c>
      <c r="H793" t="n">
        <v>0</v>
      </c>
      <c r="I793" t="n">
        <v>0</v>
      </c>
      <c r="J793" t="n">
        <v>0</v>
      </c>
      <c r="K793" t="n">
        <v>7</v>
      </c>
      <c r="L793" t="n">
        <v>0</v>
      </c>
      <c r="M793" t="n">
        <v>7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300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</row>
    <row r="794">
      <c r="A794" t="inlineStr">
        <is>
          <t>tenryu_tekko_+1</t>
        </is>
      </c>
      <c r="B794" t="n">
        <v>64</v>
      </c>
      <c r="C794" t="n">
        <v>10540</v>
      </c>
      <c r="D794" t="n">
        <v>8</v>
      </c>
      <c r="E794" t="n">
        <v>0</v>
      </c>
      <c r="F794" t="n">
        <v>0</v>
      </c>
      <c r="G794" t="n">
        <v>8</v>
      </c>
      <c r="H794" t="n">
        <v>0</v>
      </c>
      <c r="I794" t="n">
        <v>0</v>
      </c>
      <c r="J794" t="n">
        <v>0</v>
      </c>
      <c r="K794" t="n">
        <v>10</v>
      </c>
      <c r="L794" t="n">
        <v>0</v>
      </c>
      <c r="M794" t="n">
        <v>10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400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</row>
    <row r="795">
      <c r="A795" t="inlineStr">
        <is>
          <t>terminal_helm</t>
        </is>
      </c>
      <c r="B795" t="n">
        <v>16</v>
      </c>
      <c r="C795" t="n">
        <v>25634</v>
      </c>
      <c r="D795" t="n">
        <v>24</v>
      </c>
      <c r="E795" t="n">
        <v>8</v>
      </c>
      <c r="F795" t="n">
        <v>19</v>
      </c>
      <c r="G795" t="n">
        <v>14</v>
      </c>
      <c r="H795" t="n">
        <v>16</v>
      </c>
      <c r="I795" t="n">
        <v>12</v>
      </c>
      <c r="J795" t="n">
        <v>14</v>
      </c>
      <c r="K795" t="n">
        <v>0</v>
      </c>
      <c r="L795" t="n">
        <v>0</v>
      </c>
      <c r="M795" t="n">
        <v>23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700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</row>
    <row r="796">
      <c r="A796" t="inlineStr">
        <is>
          <t>terminal_plate</t>
        </is>
      </c>
      <c r="B796" t="n">
        <v>32</v>
      </c>
      <c r="C796" t="n">
        <v>25707</v>
      </c>
      <c r="D796" t="n">
        <v>32</v>
      </c>
      <c r="E796" t="n">
        <v>16</v>
      </c>
      <c r="F796" t="n">
        <v>29</v>
      </c>
      <c r="G796" t="n">
        <v>19</v>
      </c>
      <c r="H796" t="n">
        <v>20</v>
      </c>
      <c r="I796" t="n">
        <v>20</v>
      </c>
      <c r="J796" t="n">
        <v>20</v>
      </c>
      <c r="K796" t="n">
        <v>25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300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</row>
    <row r="797">
      <c r="A797" t="inlineStr">
        <is>
          <t>tessera_saio</t>
        </is>
      </c>
      <c r="B797" t="n">
        <v>32</v>
      </c>
      <c r="C797" t="n">
        <v>10485</v>
      </c>
      <c r="D797" t="n">
        <v>13</v>
      </c>
      <c r="E797" t="n">
        <v>13</v>
      </c>
      <c r="F797" t="n">
        <v>0</v>
      </c>
      <c r="G797" t="n">
        <v>13</v>
      </c>
      <c r="H797" t="n">
        <v>0</v>
      </c>
      <c r="I797" t="n">
        <v>0</v>
      </c>
      <c r="J797" t="n">
        <v>0</v>
      </c>
      <c r="K797" t="n">
        <v>17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300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</row>
    <row r="798">
      <c r="A798" t="inlineStr">
        <is>
          <t>testudo_mantle</t>
        </is>
      </c>
      <c r="B798" t="n">
        <v>32768</v>
      </c>
      <c r="C798" t="n">
        <v>10996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5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inlineStr">
        <is>
          <t>testudo_mantle_+1</t>
        </is>
      </c>
      <c r="B799" t="n">
        <v>32768</v>
      </c>
      <c r="C799" t="n">
        <v>10997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6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</row>
    <row r="800">
      <c r="A800" t="inlineStr">
        <is>
          <t>thaumas_coat</t>
        </is>
      </c>
      <c r="B800" t="n">
        <v>32</v>
      </c>
      <c r="C800" t="n">
        <v>10479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12</v>
      </c>
      <c r="N800" t="n">
        <v>0</v>
      </c>
      <c r="O800" t="n">
        <v>0</v>
      </c>
      <c r="P800" t="n">
        <v>3</v>
      </c>
      <c r="Q800" t="n">
        <v>3</v>
      </c>
      <c r="R800" t="n">
        <v>3</v>
      </c>
      <c r="S800" t="n">
        <v>400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</row>
    <row r="801">
      <c r="A801" t="inlineStr">
        <is>
          <t>thaumas_gloves</t>
        </is>
      </c>
      <c r="B801" t="n">
        <v>64</v>
      </c>
      <c r="C801" t="n">
        <v>10528</v>
      </c>
      <c r="D801" t="n">
        <v>0</v>
      </c>
      <c r="E801" t="n">
        <v>8</v>
      </c>
      <c r="F801" t="n">
        <v>8</v>
      </c>
      <c r="G801" t="n">
        <v>8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9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300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</row>
    <row r="802">
      <c r="A802" t="inlineStr">
        <is>
          <t>thaumas_hat</t>
        </is>
      </c>
      <c r="B802" t="n">
        <v>16</v>
      </c>
      <c r="C802" t="n">
        <v>10906</v>
      </c>
      <c r="D802" t="n">
        <v>6</v>
      </c>
      <c r="E802" t="n">
        <v>0</v>
      </c>
      <c r="F802" t="n">
        <v>0</v>
      </c>
      <c r="G802" t="n">
        <v>14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4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</row>
    <row r="803">
      <c r="A803" t="inlineStr">
        <is>
          <t>thaumas_kecks</t>
        </is>
      </c>
      <c r="B803" t="n">
        <v>128</v>
      </c>
      <c r="C803" t="n">
        <v>10559</v>
      </c>
      <c r="D803" t="n">
        <v>9</v>
      </c>
      <c r="E803" t="n">
        <v>0</v>
      </c>
      <c r="F803" t="n">
        <v>0</v>
      </c>
      <c r="G803" t="n">
        <v>9</v>
      </c>
      <c r="H803" t="n">
        <v>0</v>
      </c>
      <c r="I803" t="n">
        <v>0</v>
      </c>
      <c r="J803" t="n">
        <v>0</v>
      </c>
      <c r="K803" t="n">
        <v>14</v>
      </c>
      <c r="L803" t="n">
        <v>0</v>
      </c>
      <c r="M803" t="n">
        <v>14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600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</row>
    <row r="804">
      <c r="A804" t="inlineStr">
        <is>
          <t>thaumas_nails</t>
        </is>
      </c>
      <c r="B804" t="n">
        <v>256</v>
      </c>
      <c r="C804" t="n">
        <v>10625</v>
      </c>
      <c r="D804" t="n">
        <v>0</v>
      </c>
      <c r="E804" t="n">
        <v>9</v>
      </c>
      <c r="F804" t="n">
        <v>0</v>
      </c>
      <c r="G804" t="n">
        <v>9</v>
      </c>
      <c r="H804" t="n">
        <v>0</v>
      </c>
      <c r="I804" t="n">
        <v>9</v>
      </c>
      <c r="J804" t="n">
        <v>0</v>
      </c>
      <c r="K804" t="n">
        <v>14</v>
      </c>
      <c r="L804" t="n">
        <v>0</v>
      </c>
      <c r="M804" t="n">
        <v>0</v>
      </c>
      <c r="N804" t="n">
        <v>0</v>
      </c>
      <c r="O804" t="n">
        <v>0</v>
      </c>
      <c r="P804" t="n">
        <v>3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</row>
    <row r="805">
      <c r="A805" t="inlineStr">
        <is>
          <t>thrud_earring</t>
        </is>
      </c>
      <c r="B805" t="n">
        <v>6144</v>
      </c>
      <c r="C805" t="n">
        <v>26107</v>
      </c>
      <c r="D805" t="n">
        <v>10</v>
      </c>
      <c r="E805" t="n">
        <v>0</v>
      </c>
      <c r="F805" t="n">
        <v>10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3</v>
      </c>
      <c r="Z805" t="n">
        <v>0</v>
      </c>
      <c r="AA805" t="n">
        <v>0</v>
      </c>
      <c r="AB805" t="n">
        <v>0</v>
      </c>
      <c r="AC805" t="n">
        <v>0</v>
      </c>
    </row>
    <row r="806">
      <c r="A806" t="inlineStr">
        <is>
          <t>thur._boots_+1</t>
        </is>
      </c>
      <c r="B806" t="n">
        <v>256</v>
      </c>
      <c r="C806" t="n">
        <v>28321</v>
      </c>
      <c r="D806" t="n">
        <v>8</v>
      </c>
      <c r="E806" t="n">
        <v>15</v>
      </c>
      <c r="F806" t="n">
        <v>16</v>
      </c>
      <c r="G806" t="n">
        <v>23</v>
      </c>
      <c r="H806" t="n">
        <v>0</v>
      </c>
      <c r="I806" t="n">
        <v>16</v>
      </c>
      <c r="J806" t="n">
        <v>19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400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</row>
    <row r="807">
      <c r="A807" t="inlineStr">
        <is>
          <t>thur._chapeau_+1</t>
        </is>
      </c>
      <c r="B807" t="n">
        <v>16</v>
      </c>
      <c r="C807" t="n">
        <v>27753</v>
      </c>
      <c r="D807" t="n">
        <v>13</v>
      </c>
      <c r="E807" t="n">
        <v>16</v>
      </c>
      <c r="F807" t="n">
        <v>9</v>
      </c>
      <c r="G807" t="n">
        <v>12</v>
      </c>
      <c r="H807" t="n">
        <v>9</v>
      </c>
      <c r="I807" t="n">
        <v>9</v>
      </c>
      <c r="J807" t="n">
        <v>10</v>
      </c>
      <c r="K807" t="n">
        <v>0</v>
      </c>
      <c r="L807" t="n">
        <v>0</v>
      </c>
      <c r="M807" t="n">
        <v>11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5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inlineStr">
        <is>
          <t>thur._gloves_+1</t>
        </is>
      </c>
      <c r="B808" t="n">
        <v>64</v>
      </c>
      <c r="C808" t="n">
        <v>28043</v>
      </c>
      <c r="D808" t="n">
        <v>7</v>
      </c>
      <c r="E808" t="n">
        <v>25</v>
      </c>
      <c r="F808" t="n">
        <v>20</v>
      </c>
      <c r="G808" t="n">
        <v>16</v>
      </c>
      <c r="H808" t="n">
        <v>8</v>
      </c>
      <c r="I808" t="n">
        <v>19</v>
      </c>
      <c r="J808" t="n">
        <v>11</v>
      </c>
      <c r="K808" t="n">
        <v>0</v>
      </c>
      <c r="L808" t="n">
        <v>0</v>
      </c>
      <c r="M808" t="n">
        <v>11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400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</row>
    <row r="809">
      <c r="A809" t="inlineStr">
        <is>
          <t>thur._tabard_+1</t>
        </is>
      </c>
      <c r="B809" t="n">
        <v>32</v>
      </c>
      <c r="C809" t="n">
        <v>27896</v>
      </c>
      <c r="D809" t="n">
        <v>19</v>
      </c>
      <c r="E809" t="n">
        <v>18</v>
      </c>
      <c r="F809" t="n">
        <v>15</v>
      </c>
      <c r="G809" t="n">
        <v>19</v>
      </c>
      <c r="H809" t="n">
        <v>14</v>
      </c>
      <c r="I809" t="n">
        <v>14</v>
      </c>
      <c r="J809" t="n">
        <v>14</v>
      </c>
      <c r="K809" t="n">
        <v>16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600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</row>
    <row r="810">
      <c r="A810" t="inlineStr">
        <is>
          <t>thur._tights_+1</t>
        </is>
      </c>
      <c r="B810" t="n">
        <v>128</v>
      </c>
      <c r="C810" t="n">
        <v>28183</v>
      </c>
      <c r="D810" t="n">
        <v>18</v>
      </c>
      <c r="E810" t="n">
        <v>0</v>
      </c>
      <c r="F810" t="n">
        <v>10</v>
      </c>
      <c r="G810" t="n">
        <v>20</v>
      </c>
      <c r="H810" t="n">
        <v>19</v>
      </c>
      <c r="I810" t="n">
        <v>11</v>
      </c>
      <c r="J810" t="n">
        <v>7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</row>
    <row r="811">
      <c r="A811" t="inlineStr">
        <is>
          <t>thurandaut_boots</t>
        </is>
      </c>
      <c r="B811" t="n">
        <v>256</v>
      </c>
      <c r="C811" t="n">
        <v>28344</v>
      </c>
      <c r="D811" t="n">
        <v>4</v>
      </c>
      <c r="E811" t="n">
        <v>7</v>
      </c>
      <c r="F811" t="n">
        <v>14</v>
      </c>
      <c r="G811" t="n">
        <v>11</v>
      </c>
      <c r="H811" t="n">
        <v>0</v>
      </c>
      <c r="I811" t="n">
        <v>14</v>
      </c>
      <c r="J811" t="n">
        <v>9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300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</row>
    <row r="812">
      <c r="A812" t="inlineStr">
        <is>
          <t>thurandaut_chapeau</t>
        </is>
      </c>
      <c r="B812" t="n">
        <v>16</v>
      </c>
      <c r="C812" t="n">
        <v>27784</v>
      </c>
      <c r="D812" t="n">
        <v>12</v>
      </c>
      <c r="E812" t="n">
        <v>14</v>
      </c>
      <c r="F812" t="n">
        <v>4</v>
      </c>
      <c r="G812" t="n">
        <v>6</v>
      </c>
      <c r="H812" t="n">
        <v>4</v>
      </c>
      <c r="I812" t="n">
        <v>4</v>
      </c>
      <c r="J812" t="n">
        <v>5</v>
      </c>
      <c r="K812" t="n">
        <v>0</v>
      </c>
      <c r="L812" t="n">
        <v>0</v>
      </c>
      <c r="M812" t="n">
        <v>10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5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inlineStr">
        <is>
          <t>thurandaut_gloves</t>
        </is>
      </c>
      <c r="B813" t="n">
        <v>64</v>
      </c>
      <c r="C813" t="n">
        <v>28064</v>
      </c>
      <c r="D813" t="n">
        <v>3</v>
      </c>
      <c r="E813" t="n">
        <v>14</v>
      </c>
      <c r="F813" t="n">
        <v>10</v>
      </c>
      <c r="G813" t="n">
        <v>14</v>
      </c>
      <c r="H813" t="n">
        <v>4</v>
      </c>
      <c r="I813" t="n">
        <v>9</v>
      </c>
      <c r="J813" t="n">
        <v>5</v>
      </c>
      <c r="K813" t="n">
        <v>0</v>
      </c>
      <c r="L813" t="n">
        <v>0</v>
      </c>
      <c r="M813" t="n">
        <v>10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300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</row>
    <row r="814">
      <c r="A814" t="inlineStr">
        <is>
          <t>thurandaut_tabard</t>
        </is>
      </c>
      <c r="B814" t="n">
        <v>32</v>
      </c>
      <c r="C814" t="n">
        <v>27924</v>
      </c>
      <c r="D814" t="n">
        <v>17</v>
      </c>
      <c r="E814" t="n">
        <v>9</v>
      </c>
      <c r="F814" t="n">
        <v>7</v>
      </c>
      <c r="G814" t="n">
        <v>17</v>
      </c>
      <c r="H814" t="n">
        <v>7</v>
      </c>
      <c r="I814" t="n">
        <v>7</v>
      </c>
      <c r="J814" t="n">
        <v>7</v>
      </c>
      <c r="K814" t="n">
        <v>15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500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</row>
    <row r="815">
      <c r="A815" t="inlineStr">
        <is>
          <t>thurandaut_tights</t>
        </is>
      </c>
      <c r="B815" t="n">
        <v>128</v>
      </c>
      <c r="C815" t="n">
        <v>28204</v>
      </c>
      <c r="D815" t="n">
        <v>9</v>
      </c>
      <c r="E815" t="n">
        <v>0</v>
      </c>
      <c r="F815" t="n">
        <v>5</v>
      </c>
      <c r="G815" t="n">
        <v>17</v>
      </c>
      <c r="H815" t="n">
        <v>9</v>
      </c>
      <c r="I815" t="n">
        <v>5</v>
      </c>
      <c r="J815" t="n">
        <v>3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</row>
    <row r="816">
      <c r="A816" t="inlineStr">
        <is>
          <t>tlamiztli_collar</t>
        </is>
      </c>
      <c r="B816" t="n">
        <v>512</v>
      </c>
      <c r="C816" t="n">
        <v>28388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20</v>
      </c>
      <c r="L816" t="n">
        <v>0</v>
      </c>
      <c r="M816" t="n">
        <v>0</v>
      </c>
      <c r="N816" t="n">
        <v>0</v>
      </c>
      <c r="O816" t="n">
        <v>0</v>
      </c>
      <c r="P816" t="n">
        <v>-1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</row>
    <row r="817">
      <c r="A817" t="inlineStr">
        <is>
          <t>tokko_bow</t>
        </is>
      </c>
      <c r="B817" t="n">
        <v>4</v>
      </c>
      <c r="C817" t="n">
        <v>22108</v>
      </c>
      <c r="D817" t="n">
        <v>0</v>
      </c>
      <c r="E817" t="n">
        <v>10</v>
      </c>
      <c r="F817" t="n">
        <v>0</v>
      </c>
      <c r="G817" t="n">
        <v>14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</row>
    <row r="818">
      <c r="A818" t="inlineStr">
        <is>
          <t>tripudio_earring</t>
        </is>
      </c>
      <c r="B818" t="n">
        <v>6144</v>
      </c>
      <c r="C818" t="n">
        <v>28519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6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5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</row>
    <row r="819">
      <c r="A819" t="inlineStr">
        <is>
          <t>trux_earring</t>
        </is>
      </c>
      <c r="B819" t="n">
        <v>6144</v>
      </c>
      <c r="C819" t="n">
        <v>28515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3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</row>
    <row r="820">
      <c r="A820" t="inlineStr">
        <is>
          <t>uac_jerkin</t>
        </is>
      </c>
      <c r="B820" t="n">
        <v>32</v>
      </c>
      <c r="C820" t="n">
        <v>25703</v>
      </c>
      <c r="D820" t="n">
        <v>29</v>
      </c>
      <c r="E820" t="n">
        <v>19</v>
      </c>
      <c r="F820" t="n">
        <v>29</v>
      </c>
      <c r="G820" t="n">
        <v>19</v>
      </c>
      <c r="H820" t="n">
        <v>19</v>
      </c>
      <c r="I820" t="n">
        <v>19</v>
      </c>
      <c r="J820" t="n">
        <v>19</v>
      </c>
      <c r="K820" t="n">
        <v>20</v>
      </c>
      <c r="L820" t="n">
        <v>0</v>
      </c>
      <c r="M820" t="n">
        <v>0</v>
      </c>
      <c r="N820" t="n">
        <v>3</v>
      </c>
      <c r="O820" t="n">
        <v>0</v>
      </c>
      <c r="P820" t="n">
        <v>3</v>
      </c>
      <c r="Q820" t="n">
        <v>0</v>
      </c>
      <c r="R820" t="n">
        <v>0</v>
      </c>
      <c r="S820" t="n">
        <v>300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</row>
    <row r="821">
      <c r="A821" t="inlineStr">
        <is>
          <t>ukuxkaj_cap</t>
        </is>
      </c>
      <c r="B821" t="n">
        <v>16</v>
      </c>
      <c r="C821" t="n">
        <v>27766</v>
      </c>
      <c r="D821" t="n">
        <v>22</v>
      </c>
      <c r="E821" t="n">
        <v>25</v>
      </c>
      <c r="F821" t="n">
        <v>22</v>
      </c>
      <c r="G821" t="n">
        <v>25</v>
      </c>
      <c r="H821" t="n">
        <v>22</v>
      </c>
      <c r="I821" t="n">
        <v>22</v>
      </c>
      <c r="J821" t="n">
        <v>23</v>
      </c>
      <c r="K821" t="n">
        <v>0</v>
      </c>
      <c r="L821" t="n">
        <v>0</v>
      </c>
      <c r="M821" t="n">
        <v>0</v>
      </c>
      <c r="N821" t="n">
        <v>3</v>
      </c>
      <c r="O821" t="n">
        <v>0</v>
      </c>
      <c r="P821" t="n">
        <v>0</v>
      </c>
      <c r="Q821" t="n">
        <v>0</v>
      </c>
      <c r="R821" t="n">
        <v>0</v>
      </c>
      <c r="S821" t="n">
        <v>700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</row>
    <row r="822">
      <c r="A822" t="inlineStr">
        <is>
          <t>ullr</t>
        </is>
      </c>
      <c r="B822" t="n">
        <v>4</v>
      </c>
      <c r="C822" t="n">
        <v>22107</v>
      </c>
      <c r="D822" t="n">
        <v>15</v>
      </c>
      <c r="E822" t="n">
        <v>15</v>
      </c>
      <c r="F822" t="n">
        <v>0</v>
      </c>
      <c r="G822" t="n">
        <v>15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inlineStr">
        <is>
          <t>umbani_cap</t>
        </is>
      </c>
      <c r="B823" t="n">
        <v>16</v>
      </c>
      <c r="C823" t="n">
        <v>27720</v>
      </c>
      <c r="D823" t="n">
        <v>20</v>
      </c>
      <c r="E823" t="n">
        <v>24</v>
      </c>
      <c r="F823" t="n">
        <v>20</v>
      </c>
      <c r="G823" t="n">
        <v>24</v>
      </c>
      <c r="H823" t="n">
        <v>20</v>
      </c>
      <c r="I823" t="n">
        <v>20</v>
      </c>
      <c r="J823" t="n">
        <v>21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800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</row>
    <row r="824">
      <c r="A824" t="inlineStr">
        <is>
          <t>umuthi_gloves</t>
        </is>
      </c>
      <c r="B824" t="n">
        <v>64</v>
      </c>
      <c r="C824" t="n">
        <v>28014</v>
      </c>
      <c r="D824" t="n">
        <v>11</v>
      </c>
      <c r="E824" t="n">
        <v>35</v>
      </c>
      <c r="F824" t="n">
        <v>36</v>
      </c>
      <c r="G824" t="n">
        <v>5</v>
      </c>
      <c r="H824" t="n">
        <v>12</v>
      </c>
      <c r="I824" t="n">
        <v>30</v>
      </c>
      <c r="J824" t="n">
        <v>17</v>
      </c>
      <c r="K824" t="n">
        <v>0</v>
      </c>
      <c r="L824" t="n">
        <v>0</v>
      </c>
      <c r="M824" t="n">
        <v>13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500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</row>
    <row r="825">
      <c r="A825" t="inlineStr">
        <is>
          <t>usk._gote_+1</t>
        </is>
      </c>
      <c r="B825" t="n">
        <v>64</v>
      </c>
      <c r="C825" t="n">
        <v>27930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13</v>
      </c>
      <c r="N825" t="n">
        <v>0</v>
      </c>
      <c r="O825" t="n">
        <v>0</v>
      </c>
      <c r="P825" t="n">
        <v>3</v>
      </c>
      <c r="Q825" t="n">
        <v>0</v>
      </c>
      <c r="R825" t="n">
        <v>0</v>
      </c>
      <c r="S825" t="n">
        <v>100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</row>
    <row r="826">
      <c r="A826" t="inlineStr">
        <is>
          <t>usk._haramaki_+1</t>
        </is>
      </c>
      <c r="B826" t="n">
        <v>32</v>
      </c>
      <c r="C826" t="n">
        <v>27790</v>
      </c>
      <c r="D826" t="n">
        <v>12</v>
      </c>
      <c r="E826" t="n">
        <v>12</v>
      </c>
      <c r="F826" t="n">
        <v>0</v>
      </c>
      <c r="G826" t="n">
        <v>0</v>
      </c>
      <c r="H826" t="n">
        <v>12</v>
      </c>
      <c r="I826" t="n">
        <v>0</v>
      </c>
      <c r="J826" t="n">
        <v>0</v>
      </c>
      <c r="K826" t="n">
        <v>0</v>
      </c>
      <c r="L826" t="n">
        <v>0</v>
      </c>
      <c r="M826" t="n">
        <v>15</v>
      </c>
      <c r="N826" t="n">
        <v>4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7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</row>
    <row r="827">
      <c r="A827" t="inlineStr">
        <is>
          <t>usk._hizayoroi_+1</t>
        </is>
      </c>
      <c r="B827" t="n">
        <v>128</v>
      </c>
      <c r="C827" t="n">
        <v>28073</v>
      </c>
      <c r="D827" t="n">
        <v>7</v>
      </c>
      <c r="E827" t="n">
        <v>7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600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</row>
    <row r="828">
      <c r="A828" t="inlineStr">
        <is>
          <t>usk._somen_+1</t>
        </is>
      </c>
      <c r="B828" t="n">
        <v>16</v>
      </c>
      <c r="C828" t="n">
        <v>27650</v>
      </c>
      <c r="D828" t="n">
        <v>9</v>
      </c>
      <c r="E828" t="n">
        <v>0</v>
      </c>
      <c r="F828" t="n">
        <v>0</v>
      </c>
      <c r="G828" t="n">
        <v>9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10</v>
      </c>
      <c r="N828" t="n">
        <v>0</v>
      </c>
      <c r="O828" t="n">
        <v>0</v>
      </c>
      <c r="P828" t="n">
        <v>4</v>
      </c>
      <c r="Q828" t="n">
        <v>0</v>
      </c>
      <c r="R828" t="n">
        <v>0</v>
      </c>
      <c r="S828" t="n">
        <v>500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</row>
    <row r="829">
      <c r="A829" t="inlineStr">
        <is>
          <t>usk._sune-ate_+1</t>
        </is>
      </c>
      <c r="B829" t="n">
        <v>256</v>
      </c>
      <c r="C829" t="n">
        <v>28210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15</v>
      </c>
      <c r="L829" t="n">
        <v>0</v>
      </c>
      <c r="M829" t="n">
        <v>15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300</v>
      </c>
      <c r="T829" t="n">
        <v>0</v>
      </c>
      <c r="U829" t="n">
        <v>0</v>
      </c>
      <c r="V829" t="n">
        <v>0</v>
      </c>
      <c r="W829" t="n">
        <v>9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</row>
    <row r="830">
      <c r="A830" t="inlineStr">
        <is>
          <t>valorous_hose</t>
        </is>
      </c>
      <c r="B830" t="n">
        <v>128</v>
      </c>
      <c r="C830" t="n">
        <v>25841</v>
      </c>
      <c r="D830" t="n">
        <v>39</v>
      </c>
      <c r="E830" t="n">
        <v>0</v>
      </c>
      <c r="F830" t="n">
        <v>26</v>
      </c>
      <c r="G830" t="n">
        <v>16</v>
      </c>
      <c r="H830" t="n">
        <v>24</v>
      </c>
      <c r="I830" t="n">
        <v>14</v>
      </c>
      <c r="J830" t="n">
        <v>11</v>
      </c>
      <c r="K830" t="n">
        <v>15</v>
      </c>
      <c r="L830" t="n">
        <v>0</v>
      </c>
      <c r="M830" t="n">
        <v>0</v>
      </c>
      <c r="N830" t="n">
        <v>0</v>
      </c>
      <c r="O830" t="n">
        <v>0</v>
      </c>
      <c r="P830" t="n">
        <v>3</v>
      </c>
      <c r="Q830" t="n">
        <v>0</v>
      </c>
      <c r="R830" t="n">
        <v>0</v>
      </c>
      <c r="S830" t="n">
        <v>500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inlineStr">
        <is>
          <t>vanir_battery</t>
        </is>
      </c>
      <c r="B831" t="n">
        <v>8</v>
      </c>
      <c r="C831" t="n">
        <v>21380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</row>
    <row r="832">
      <c r="A832" t="inlineStr">
        <is>
          <t>vanir_boots</t>
        </is>
      </c>
      <c r="B832" t="n">
        <v>256</v>
      </c>
      <c r="C832" t="n">
        <v>28310</v>
      </c>
      <c r="D832" t="n">
        <v>12</v>
      </c>
      <c r="E832" t="n">
        <v>29</v>
      </c>
      <c r="F832" t="n">
        <v>12</v>
      </c>
      <c r="G832" t="n">
        <v>42</v>
      </c>
      <c r="H832" t="n">
        <v>0</v>
      </c>
      <c r="I832" t="n">
        <v>12</v>
      </c>
      <c r="J832" t="n">
        <v>30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400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</row>
    <row r="833">
      <c r="A833" t="inlineStr">
        <is>
          <t>vara_brigandine</t>
        </is>
      </c>
      <c r="B833" t="n">
        <v>32</v>
      </c>
      <c r="C833" t="n">
        <v>10283</v>
      </c>
      <c r="D833" t="n">
        <v>6</v>
      </c>
      <c r="E833" t="n">
        <v>12</v>
      </c>
      <c r="F833" t="n">
        <v>12</v>
      </c>
      <c r="G833" t="n">
        <v>6</v>
      </c>
      <c r="H833" t="n">
        <v>6</v>
      </c>
      <c r="I833" t="n">
        <v>6</v>
      </c>
      <c r="J833" t="n">
        <v>6</v>
      </c>
      <c r="K833" t="n">
        <v>14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5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</row>
    <row r="834">
      <c r="A834" t="inlineStr">
        <is>
          <t>varar_ring</t>
        </is>
      </c>
      <c r="B834" t="n">
        <v>24576</v>
      </c>
      <c r="C834" t="n">
        <v>26179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7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inlineStr">
        <is>
          <t>varar_ring_+1</t>
        </is>
      </c>
      <c r="B835" t="n">
        <v>24576</v>
      </c>
      <c r="C835" t="n">
        <v>26180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</row>
    <row r="836">
      <c r="A836" t="inlineStr">
        <is>
          <t>vehemence_ring</t>
        </is>
      </c>
      <c r="B836" t="n">
        <v>24576</v>
      </c>
      <c r="C836" t="n">
        <v>28550</v>
      </c>
      <c r="D836" t="n">
        <v>2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</row>
    <row r="837">
      <c r="A837" t="inlineStr">
        <is>
          <t>veikr_pumps</t>
        </is>
      </c>
      <c r="B837" t="n">
        <v>256</v>
      </c>
      <c r="C837" t="n">
        <v>10371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200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inlineStr">
        <is>
          <t>vell._mantle_+1</t>
        </is>
      </c>
      <c r="B838" t="n">
        <v>32768</v>
      </c>
      <c r="C838" t="n">
        <v>28594</v>
      </c>
      <c r="D838" t="n">
        <v>0</v>
      </c>
      <c r="E838" t="n">
        <v>0</v>
      </c>
      <c r="F838" t="n">
        <v>0</v>
      </c>
      <c r="G838" t="n">
        <v>5</v>
      </c>
      <c r="H838" t="n">
        <v>0</v>
      </c>
      <c r="I838" t="n">
        <v>0</v>
      </c>
      <c r="J838" t="n">
        <v>0</v>
      </c>
      <c r="K838" t="n">
        <v>25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2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inlineStr">
        <is>
          <t>vespid_mantle</t>
        </is>
      </c>
      <c r="B839" t="n">
        <v>32768</v>
      </c>
      <c r="C839" t="n">
        <v>28641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35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10</v>
      </c>
      <c r="AC839" t="n">
        <v>0</v>
      </c>
    </row>
    <row r="840">
      <c r="A840" t="inlineStr">
        <is>
          <t>volte_boots</t>
        </is>
      </c>
      <c r="B840" t="n">
        <v>256</v>
      </c>
      <c r="C840" t="n">
        <v>23729</v>
      </c>
      <c r="D840" t="n">
        <v>23</v>
      </c>
      <c r="E840" t="n">
        <v>23</v>
      </c>
      <c r="F840" t="n">
        <v>23</v>
      </c>
      <c r="G840" t="n">
        <v>23</v>
      </c>
      <c r="H840" t="n">
        <v>23</v>
      </c>
      <c r="I840" t="n">
        <v>23</v>
      </c>
      <c r="J840" t="n">
        <v>23</v>
      </c>
      <c r="K840" t="n">
        <v>0</v>
      </c>
      <c r="L840" t="n">
        <v>0</v>
      </c>
      <c r="M840" t="n">
        <v>37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500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</row>
    <row r="841">
      <c r="A841" t="inlineStr">
        <is>
          <t>volte_bracers</t>
        </is>
      </c>
      <c r="B841" t="n">
        <v>64</v>
      </c>
      <c r="C841" t="n">
        <v>23721</v>
      </c>
      <c r="D841" t="n">
        <v>23</v>
      </c>
      <c r="E841" t="n">
        <v>23</v>
      </c>
      <c r="F841" t="n">
        <v>23</v>
      </c>
      <c r="G841" t="n">
        <v>23</v>
      </c>
      <c r="H841" t="n">
        <v>23</v>
      </c>
      <c r="I841" t="n">
        <v>23</v>
      </c>
      <c r="J841" t="n">
        <v>23</v>
      </c>
      <c r="K841" t="n">
        <v>0</v>
      </c>
      <c r="L841" t="n">
        <v>0</v>
      </c>
      <c r="M841" t="n">
        <v>37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500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</row>
    <row r="842">
      <c r="A842" t="inlineStr">
        <is>
          <t>volte_brayettes</t>
        </is>
      </c>
      <c r="B842" t="n">
        <v>128</v>
      </c>
      <c r="C842" t="n">
        <v>23724</v>
      </c>
      <c r="D842" t="n">
        <v>44</v>
      </c>
      <c r="E842" t="n">
        <v>0</v>
      </c>
      <c r="F842" t="n">
        <v>34</v>
      </c>
      <c r="G842" t="n">
        <v>12</v>
      </c>
      <c r="H842" t="n">
        <v>29</v>
      </c>
      <c r="I842" t="n">
        <v>19</v>
      </c>
      <c r="J842" t="n">
        <v>8</v>
      </c>
      <c r="K842" t="n">
        <v>0</v>
      </c>
      <c r="L842" t="n">
        <v>0</v>
      </c>
      <c r="M842" t="n">
        <v>38</v>
      </c>
      <c r="N842" t="n">
        <v>0</v>
      </c>
      <c r="O842" t="n">
        <v>0</v>
      </c>
      <c r="P842" t="n">
        <v>4</v>
      </c>
      <c r="Q842" t="n">
        <v>0</v>
      </c>
      <c r="R842" t="n">
        <v>0</v>
      </c>
      <c r="S842" t="n">
        <v>900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</row>
    <row r="843">
      <c r="A843" t="inlineStr">
        <is>
          <t>volte_cap</t>
        </is>
      </c>
      <c r="B843" t="n">
        <v>16</v>
      </c>
      <c r="C843" t="n">
        <v>23713</v>
      </c>
      <c r="D843" t="n">
        <v>23</v>
      </c>
      <c r="E843" t="n">
        <v>23</v>
      </c>
      <c r="F843" t="n">
        <v>23</v>
      </c>
      <c r="G843" t="n">
        <v>23</v>
      </c>
      <c r="H843" t="n">
        <v>23</v>
      </c>
      <c r="I843" t="n">
        <v>23</v>
      </c>
      <c r="J843" t="n">
        <v>23</v>
      </c>
      <c r="K843" t="n">
        <v>0</v>
      </c>
      <c r="L843" t="n">
        <v>0</v>
      </c>
      <c r="M843" t="n">
        <v>37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500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</row>
    <row r="844">
      <c r="A844" t="inlineStr">
        <is>
          <t>volte_harness</t>
        </is>
      </c>
      <c r="B844" t="n">
        <v>32</v>
      </c>
      <c r="C844" t="n">
        <v>23715</v>
      </c>
      <c r="D844" t="n">
        <v>40</v>
      </c>
      <c r="E844" t="n">
        <v>49</v>
      </c>
      <c r="F844" t="n">
        <v>16</v>
      </c>
      <c r="G844" t="n">
        <v>46</v>
      </c>
      <c r="H844" t="n">
        <v>14</v>
      </c>
      <c r="I844" t="n">
        <v>12</v>
      </c>
      <c r="J844" t="n">
        <v>19</v>
      </c>
      <c r="K844" t="n">
        <v>0</v>
      </c>
      <c r="L844" t="n">
        <v>0</v>
      </c>
      <c r="M844" t="n">
        <v>39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400</v>
      </c>
      <c r="T844" t="n">
        <v>0</v>
      </c>
      <c r="U844" t="n">
        <v>0</v>
      </c>
      <c r="V844" t="n">
        <v>0</v>
      </c>
      <c r="W844" t="n">
        <v>10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</row>
    <row r="845">
      <c r="A845" t="inlineStr">
        <is>
          <t>volte_haubert</t>
        </is>
      </c>
      <c r="B845" t="n">
        <v>32</v>
      </c>
      <c r="C845" t="n">
        <v>23716</v>
      </c>
      <c r="D845" t="n">
        <v>39</v>
      </c>
      <c r="E845" t="n">
        <v>25</v>
      </c>
      <c r="F845" t="n">
        <v>43</v>
      </c>
      <c r="G845" t="n">
        <v>15</v>
      </c>
      <c r="H845" t="n">
        <v>23</v>
      </c>
      <c r="I845" t="n">
        <v>25</v>
      </c>
      <c r="J845" t="n">
        <v>17</v>
      </c>
      <c r="K845" t="n">
        <v>0</v>
      </c>
      <c r="L845" t="n">
        <v>0</v>
      </c>
      <c r="M845" t="n">
        <v>39</v>
      </c>
      <c r="N845" t="n">
        <v>0</v>
      </c>
      <c r="O845" t="n">
        <v>0</v>
      </c>
      <c r="P845" t="n">
        <v>5</v>
      </c>
      <c r="Q845" t="n">
        <v>0</v>
      </c>
      <c r="R845" t="n">
        <v>0</v>
      </c>
      <c r="S845" t="n">
        <v>400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</row>
    <row r="846">
      <c r="A846" t="inlineStr">
        <is>
          <t>volte_hose</t>
        </is>
      </c>
      <c r="B846" t="n">
        <v>128</v>
      </c>
      <c r="C846" t="n">
        <v>23725</v>
      </c>
      <c r="D846" t="n">
        <v>23</v>
      </c>
      <c r="E846" t="n">
        <v>23</v>
      </c>
      <c r="F846" t="n">
        <v>23</v>
      </c>
      <c r="G846" t="n">
        <v>23</v>
      </c>
      <c r="H846" t="n">
        <v>23</v>
      </c>
      <c r="I846" t="n">
        <v>23</v>
      </c>
      <c r="J846" t="n">
        <v>23</v>
      </c>
      <c r="K846" t="n">
        <v>0</v>
      </c>
      <c r="L846" t="n">
        <v>0</v>
      </c>
      <c r="M846" t="n">
        <v>37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500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</row>
    <row r="847">
      <c r="A847" t="inlineStr">
        <is>
          <t>volte_jupon</t>
        </is>
      </c>
      <c r="B847" t="n">
        <v>32</v>
      </c>
      <c r="C847" t="n">
        <v>23717</v>
      </c>
      <c r="D847" t="n">
        <v>23</v>
      </c>
      <c r="E847" t="n">
        <v>23</v>
      </c>
      <c r="F847" t="n">
        <v>23</v>
      </c>
      <c r="G847" t="n">
        <v>23</v>
      </c>
      <c r="H847" t="n">
        <v>23</v>
      </c>
      <c r="I847" t="n">
        <v>23</v>
      </c>
      <c r="J847" t="n">
        <v>23</v>
      </c>
      <c r="K847" t="n">
        <v>0</v>
      </c>
      <c r="L847" t="n">
        <v>0</v>
      </c>
      <c r="M847" t="n">
        <v>37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500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</row>
    <row r="848">
      <c r="A848" t="inlineStr">
        <is>
          <t>volte_mittens</t>
        </is>
      </c>
      <c r="B848" t="n">
        <v>64</v>
      </c>
      <c r="C848" t="n">
        <v>23719</v>
      </c>
      <c r="D848" t="n">
        <v>29</v>
      </c>
      <c r="E848" t="n">
        <v>55</v>
      </c>
      <c r="F848" t="n">
        <v>23</v>
      </c>
      <c r="G848" t="n">
        <v>24</v>
      </c>
      <c r="H848" t="n">
        <v>6</v>
      </c>
      <c r="I848" t="n">
        <v>17</v>
      </c>
      <c r="J848" t="n">
        <v>16</v>
      </c>
      <c r="K848" t="n">
        <v>0</v>
      </c>
      <c r="L848" t="n">
        <v>0</v>
      </c>
      <c r="M848" t="n">
        <v>36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400</v>
      </c>
      <c r="T848" t="n">
        <v>0</v>
      </c>
      <c r="U848" t="n">
        <v>0</v>
      </c>
      <c r="V848" t="n">
        <v>0</v>
      </c>
      <c r="W848" t="n">
        <v>6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inlineStr">
        <is>
          <t>volte_moufles</t>
        </is>
      </c>
      <c r="B849" t="n">
        <v>64</v>
      </c>
      <c r="C849" t="n">
        <v>23720</v>
      </c>
      <c r="D849" t="n">
        <v>19</v>
      </c>
      <c r="E849" t="n">
        <v>37</v>
      </c>
      <c r="F849" t="n">
        <v>46</v>
      </c>
      <c r="G849" t="n">
        <v>0</v>
      </c>
      <c r="H849" t="n">
        <v>11</v>
      </c>
      <c r="I849" t="n">
        <v>32</v>
      </c>
      <c r="J849" t="n">
        <v>17</v>
      </c>
      <c r="K849" t="n">
        <v>0</v>
      </c>
      <c r="L849" t="n">
        <v>0</v>
      </c>
      <c r="M849" t="n">
        <v>36</v>
      </c>
      <c r="N849" t="n">
        <v>0</v>
      </c>
      <c r="O849" t="n">
        <v>0</v>
      </c>
      <c r="P849" t="n">
        <v>3</v>
      </c>
      <c r="Q849" t="n">
        <v>0</v>
      </c>
      <c r="R849" t="n">
        <v>0</v>
      </c>
      <c r="S849" t="n">
        <v>400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</row>
    <row r="850">
      <c r="A850" t="inlineStr">
        <is>
          <t>volte_salade</t>
        </is>
      </c>
      <c r="B850" t="n">
        <v>16</v>
      </c>
      <c r="C850" t="n">
        <v>23712</v>
      </c>
      <c r="D850" t="n">
        <v>34</v>
      </c>
      <c r="E850" t="n">
        <v>25</v>
      </c>
      <c r="F850" t="n">
        <v>39</v>
      </c>
      <c r="G850" t="n">
        <v>15</v>
      </c>
      <c r="H850" t="n">
        <v>20</v>
      </c>
      <c r="I850" t="n">
        <v>26</v>
      </c>
      <c r="J850" t="n">
        <v>16</v>
      </c>
      <c r="K850" t="n">
        <v>0</v>
      </c>
      <c r="L850" t="n">
        <v>0</v>
      </c>
      <c r="M850" t="n">
        <v>37</v>
      </c>
      <c r="N850" t="n">
        <v>0</v>
      </c>
      <c r="O850" t="n">
        <v>0</v>
      </c>
      <c r="P850" t="n">
        <v>3</v>
      </c>
      <c r="Q850" t="n">
        <v>0</v>
      </c>
      <c r="R850" t="n">
        <v>0</v>
      </c>
      <c r="S850" t="n">
        <v>600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inlineStr">
        <is>
          <t>volte_sollerets</t>
        </is>
      </c>
      <c r="B851" t="n">
        <v>256</v>
      </c>
      <c r="C851" t="n">
        <v>23728</v>
      </c>
      <c r="D851" t="n">
        <v>25</v>
      </c>
      <c r="E851" t="n">
        <v>19</v>
      </c>
      <c r="F851" t="n">
        <v>30</v>
      </c>
      <c r="G851" t="n">
        <v>26</v>
      </c>
      <c r="H851" t="n">
        <v>0</v>
      </c>
      <c r="I851" t="n">
        <v>17</v>
      </c>
      <c r="J851" t="n">
        <v>24</v>
      </c>
      <c r="K851" t="n">
        <v>0</v>
      </c>
      <c r="L851" t="n">
        <v>0</v>
      </c>
      <c r="M851" t="n">
        <v>35</v>
      </c>
      <c r="N851" t="n">
        <v>0</v>
      </c>
      <c r="O851" t="n">
        <v>0</v>
      </c>
      <c r="P851" t="n">
        <v>3</v>
      </c>
      <c r="Q851" t="n">
        <v>0</v>
      </c>
      <c r="R851" t="n">
        <v>0</v>
      </c>
      <c r="S851" t="n">
        <v>300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</row>
    <row r="852">
      <c r="A852" t="inlineStr">
        <is>
          <t>volte_spats</t>
        </is>
      </c>
      <c r="B852" t="n">
        <v>256</v>
      </c>
      <c r="C852" t="n">
        <v>23727</v>
      </c>
      <c r="D852" t="n">
        <v>33</v>
      </c>
      <c r="E852" t="n">
        <v>39</v>
      </c>
      <c r="F852" t="n">
        <v>2</v>
      </c>
      <c r="G852" t="n">
        <v>58</v>
      </c>
      <c r="H852" t="n">
        <v>0</v>
      </c>
      <c r="I852" t="n">
        <v>3</v>
      </c>
      <c r="J852" t="n">
        <v>28</v>
      </c>
      <c r="K852" t="n">
        <v>0</v>
      </c>
      <c r="L852" t="n">
        <v>0</v>
      </c>
      <c r="M852" t="n">
        <v>35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300</v>
      </c>
      <c r="T852" t="n">
        <v>0</v>
      </c>
      <c r="U852" t="n">
        <v>0</v>
      </c>
      <c r="V852" t="n">
        <v>0</v>
      </c>
      <c r="W852" t="n">
        <v>6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inlineStr">
        <is>
          <t>volte_tiara</t>
        </is>
      </c>
      <c r="B853" t="n">
        <v>16</v>
      </c>
      <c r="C853" t="n">
        <v>23711</v>
      </c>
      <c r="D853" t="n">
        <v>33</v>
      </c>
      <c r="E853" t="n">
        <v>40</v>
      </c>
      <c r="F853" t="n">
        <v>8</v>
      </c>
      <c r="G853" t="n">
        <v>35</v>
      </c>
      <c r="H853" t="n">
        <v>7</v>
      </c>
      <c r="I853" t="n">
        <v>6</v>
      </c>
      <c r="J853" t="n">
        <v>12</v>
      </c>
      <c r="K853" t="n">
        <v>0</v>
      </c>
      <c r="L853" t="n">
        <v>0</v>
      </c>
      <c r="M853" t="n">
        <v>37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600</v>
      </c>
      <c r="T853" t="n">
        <v>0</v>
      </c>
      <c r="U853" t="n">
        <v>0</v>
      </c>
      <c r="V853" t="n">
        <v>0</v>
      </c>
      <c r="W853" t="n">
        <v>6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inlineStr">
        <is>
          <t>volte_tights</t>
        </is>
      </c>
      <c r="B854" t="n">
        <v>128</v>
      </c>
      <c r="C854" t="n">
        <v>23723</v>
      </c>
      <c r="D854" t="n">
        <v>46</v>
      </c>
      <c r="E854" t="n">
        <v>0</v>
      </c>
      <c r="F854" t="n">
        <v>8</v>
      </c>
      <c r="G854" t="n">
        <v>47</v>
      </c>
      <c r="H854" t="n">
        <v>21</v>
      </c>
      <c r="I854" t="n">
        <v>7</v>
      </c>
      <c r="J854" t="n">
        <v>11</v>
      </c>
      <c r="K854" t="n">
        <v>0</v>
      </c>
      <c r="L854" t="n">
        <v>0</v>
      </c>
      <c r="M854" t="n">
        <v>38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900</v>
      </c>
      <c r="T854" t="n">
        <v>0</v>
      </c>
      <c r="U854" t="n">
        <v>0</v>
      </c>
      <c r="V854" t="n">
        <v>0</v>
      </c>
      <c r="W854" t="n">
        <v>8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inlineStr">
        <is>
          <t>voltsurge_torque</t>
        </is>
      </c>
      <c r="B855" t="n">
        <v>512</v>
      </c>
      <c r="C855" t="n">
        <v>28354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5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inlineStr">
        <is>
          <t>wanion_belt</t>
        </is>
      </c>
      <c r="B856" t="n">
        <v>1024</v>
      </c>
      <c r="C856" t="n">
        <v>10834</v>
      </c>
      <c r="D856" t="n">
        <v>8</v>
      </c>
      <c r="E856" t="n">
        <v>8</v>
      </c>
      <c r="F856" t="n">
        <v>-5</v>
      </c>
      <c r="G856" t="n">
        <v>-5</v>
      </c>
      <c r="H856" t="n">
        <v>8</v>
      </c>
      <c r="I856" t="n">
        <v>-5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inlineStr">
        <is>
          <t>weard_mantle</t>
        </is>
      </c>
      <c r="B857" t="n">
        <v>32768</v>
      </c>
      <c r="C857" t="n">
        <v>28623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15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</row>
    <row r="858">
      <c r="A858" t="inlineStr">
        <is>
          <t>whirlpool_greaves</t>
        </is>
      </c>
      <c r="B858" t="n">
        <v>256</v>
      </c>
      <c r="C858" t="n">
        <v>28337</v>
      </c>
      <c r="D858" t="n">
        <v>15</v>
      </c>
      <c r="E858" t="n">
        <v>17</v>
      </c>
      <c r="F858" t="n">
        <v>15</v>
      </c>
      <c r="G858" t="n">
        <v>32</v>
      </c>
      <c r="H858" t="n">
        <v>0</v>
      </c>
      <c r="I858" t="n">
        <v>15</v>
      </c>
      <c r="J858" t="n">
        <v>26</v>
      </c>
      <c r="K858" t="n">
        <v>20</v>
      </c>
      <c r="L858" t="n">
        <v>0</v>
      </c>
      <c r="M858" t="n">
        <v>13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500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</row>
    <row r="859">
      <c r="A859" t="inlineStr">
        <is>
          <t>whirlpool_mask</t>
        </is>
      </c>
      <c r="B859" t="n">
        <v>16</v>
      </c>
      <c r="C859" t="n">
        <v>27774</v>
      </c>
      <c r="D859" t="n">
        <v>24</v>
      </c>
      <c r="E859" t="n">
        <v>20</v>
      </c>
      <c r="F859" t="n">
        <v>22</v>
      </c>
      <c r="G859" t="n">
        <v>20</v>
      </c>
      <c r="H859" t="n">
        <v>19</v>
      </c>
      <c r="I859" t="n">
        <v>19</v>
      </c>
      <c r="J859" t="n">
        <v>19</v>
      </c>
      <c r="K859" t="n">
        <v>25</v>
      </c>
      <c r="L859" t="n">
        <v>0</v>
      </c>
      <c r="M859" t="n">
        <v>25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700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</row>
    <row r="860">
      <c r="A860" t="inlineStr">
        <is>
          <t>wildheitbrust</t>
        </is>
      </c>
      <c r="B860" t="n">
        <v>32</v>
      </c>
      <c r="C860" t="n">
        <v>26882</v>
      </c>
      <c r="D860" t="n">
        <v>34</v>
      </c>
      <c r="E860" t="n">
        <v>21</v>
      </c>
      <c r="F860" t="n">
        <v>34</v>
      </c>
      <c r="G860" t="n">
        <v>21</v>
      </c>
      <c r="H860" t="n">
        <v>21</v>
      </c>
      <c r="I860" t="n">
        <v>21</v>
      </c>
      <c r="J860" t="n">
        <v>21</v>
      </c>
      <c r="K860" t="n">
        <v>16</v>
      </c>
      <c r="L860" t="n">
        <v>0</v>
      </c>
      <c r="M860" t="n">
        <v>16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300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</row>
    <row r="861">
      <c r="A861" t="inlineStr">
        <is>
          <t>wildheithentzes</t>
        </is>
      </c>
      <c r="B861" t="n">
        <v>64</v>
      </c>
      <c r="C861" t="n">
        <v>27988</v>
      </c>
      <c r="D861" t="n">
        <v>6</v>
      </c>
      <c r="E861" t="n">
        <v>36</v>
      </c>
      <c r="F861" t="n">
        <v>30</v>
      </c>
      <c r="G861" t="n">
        <v>7</v>
      </c>
      <c r="H861" t="n">
        <v>10</v>
      </c>
      <c r="I861" t="n">
        <v>26</v>
      </c>
      <c r="J861" t="n">
        <v>20</v>
      </c>
      <c r="K861" t="n">
        <v>0</v>
      </c>
      <c r="L861" t="n">
        <v>0</v>
      </c>
      <c r="M861" t="n">
        <v>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400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</row>
    <row r="862">
      <c r="A862" t="inlineStr">
        <is>
          <t>wildheitschuhs</t>
        </is>
      </c>
      <c r="B862" t="n">
        <v>256</v>
      </c>
      <c r="C862" t="n">
        <v>27397</v>
      </c>
      <c r="D862" t="n">
        <v>18</v>
      </c>
      <c r="E862" t="n">
        <v>20</v>
      </c>
      <c r="F862" t="n">
        <v>15</v>
      </c>
      <c r="G862" t="n">
        <v>32</v>
      </c>
      <c r="H862" t="n">
        <v>0</v>
      </c>
      <c r="I862" t="n">
        <v>10</v>
      </c>
      <c r="J862" t="n">
        <v>26</v>
      </c>
      <c r="K862" t="n">
        <v>8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300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</row>
    <row r="863">
      <c r="A863" t="inlineStr">
        <is>
          <t>windbuffet_belt_+1</t>
        </is>
      </c>
      <c r="B863" t="n">
        <v>1024</v>
      </c>
      <c r="C863" t="n">
        <v>28440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2</v>
      </c>
      <c r="N863" t="n">
        <v>0</v>
      </c>
      <c r="O863" t="n">
        <v>0</v>
      </c>
      <c r="P863" t="n">
        <v>0</v>
      </c>
      <c r="Q863" t="n">
        <v>2</v>
      </c>
      <c r="R863" t="n">
        <v>2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</row>
    <row r="864">
      <c r="A864" t="inlineStr">
        <is>
          <t>wingcutter_+1</t>
        </is>
      </c>
      <c r="B864" t="n">
        <v>4</v>
      </c>
      <c r="C864" t="n">
        <v>21350</v>
      </c>
      <c r="D864" t="n">
        <v>0</v>
      </c>
      <c r="E864" t="n">
        <v>5</v>
      </c>
      <c r="F864" t="n">
        <v>0</v>
      </c>
      <c r="G864" t="n">
        <v>6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2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</row>
    <row r="865">
      <c r="A865" t="inlineStr">
        <is>
          <t>wurrukatte_boots</t>
        </is>
      </c>
      <c r="B865" t="n">
        <v>256</v>
      </c>
      <c r="C865" t="n">
        <v>10615</v>
      </c>
      <c r="D865" t="n">
        <v>0</v>
      </c>
      <c r="E865" t="n">
        <v>6</v>
      </c>
      <c r="F865" t="n">
        <v>0</v>
      </c>
      <c r="G865" t="n">
        <v>6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3</v>
      </c>
      <c r="O865" t="n">
        <v>0</v>
      </c>
      <c r="P865" t="n">
        <v>0</v>
      </c>
      <c r="Q865" t="n">
        <v>0</v>
      </c>
      <c r="R865" t="n">
        <v>0</v>
      </c>
      <c r="S865" t="n">
        <v>300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</row>
    <row r="866">
      <c r="A866" t="inlineStr">
        <is>
          <t>xaddi_boots</t>
        </is>
      </c>
      <c r="B866" t="n">
        <v>256</v>
      </c>
      <c r="C866" t="n">
        <v>28294</v>
      </c>
      <c r="D866" t="n">
        <v>11</v>
      </c>
      <c r="E866" t="n">
        <v>9</v>
      </c>
      <c r="F866" t="n">
        <v>12</v>
      </c>
      <c r="G866" t="n">
        <v>26</v>
      </c>
      <c r="H866" t="n">
        <v>0</v>
      </c>
      <c r="I866" t="n">
        <v>7</v>
      </c>
      <c r="J866" t="n">
        <v>23</v>
      </c>
      <c r="K866" t="n">
        <v>0</v>
      </c>
      <c r="L866" t="n">
        <v>0</v>
      </c>
      <c r="M866" t="n">
        <v>10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300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inlineStr">
        <is>
          <t>xaddi_cuisses</t>
        </is>
      </c>
      <c r="B867" t="n">
        <v>128</v>
      </c>
      <c r="C867" t="n">
        <v>28157</v>
      </c>
      <c r="D867" t="n">
        <v>25</v>
      </c>
      <c r="E867" t="n">
        <v>0</v>
      </c>
      <c r="F867" t="n">
        <v>18</v>
      </c>
      <c r="G867" t="n">
        <v>13</v>
      </c>
      <c r="H867" t="n">
        <v>22</v>
      </c>
      <c r="I867" t="n">
        <v>9</v>
      </c>
      <c r="J867" t="n">
        <v>7</v>
      </c>
      <c r="K867" t="n">
        <v>10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3</v>
      </c>
      <c r="R867" t="n">
        <v>0</v>
      </c>
      <c r="S867" t="n">
        <v>500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</row>
    <row r="868">
      <c r="A868" t="inlineStr">
        <is>
          <t>xaddi_gauntlets</t>
        </is>
      </c>
      <c r="B868" t="n">
        <v>64</v>
      </c>
      <c r="C868" t="n">
        <v>28015</v>
      </c>
      <c r="D868" t="n">
        <v>7</v>
      </c>
      <c r="E868" t="n">
        <v>24</v>
      </c>
      <c r="F868" t="n">
        <v>28</v>
      </c>
      <c r="G868" t="n">
        <v>0</v>
      </c>
      <c r="H868" t="n">
        <v>5</v>
      </c>
      <c r="I868" t="n">
        <v>22</v>
      </c>
      <c r="J868" t="n">
        <v>16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400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inlineStr">
        <is>
          <t>xaddi_headgear</t>
        </is>
      </c>
      <c r="B869" t="n">
        <v>16</v>
      </c>
      <c r="C869" t="n">
        <v>27723</v>
      </c>
      <c r="D869" t="n">
        <v>20</v>
      </c>
      <c r="E869" t="n">
        <v>14</v>
      </c>
      <c r="F869" t="n">
        <v>20</v>
      </c>
      <c r="G869" t="n">
        <v>14</v>
      </c>
      <c r="H869" t="n">
        <v>12</v>
      </c>
      <c r="I869" t="n">
        <v>12</v>
      </c>
      <c r="J869" t="n">
        <v>12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700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inlineStr">
        <is>
          <t>xaddi_mail</t>
        </is>
      </c>
      <c r="B870" t="n">
        <v>32</v>
      </c>
      <c r="C870" t="n">
        <v>27869</v>
      </c>
      <c r="D870" t="n">
        <v>24</v>
      </c>
      <c r="E870" t="n">
        <v>14</v>
      </c>
      <c r="F870" t="n">
        <v>24</v>
      </c>
      <c r="G870" t="n">
        <v>16</v>
      </c>
      <c r="H870" t="n">
        <v>16</v>
      </c>
      <c r="I870" t="n">
        <v>16</v>
      </c>
      <c r="J870" t="n">
        <v>16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3</v>
      </c>
      <c r="R870" t="n">
        <v>0</v>
      </c>
      <c r="S870" t="n">
        <v>300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</row>
    <row r="871">
      <c r="A871" t="inlineStr">
        <is>
          <t>xux_trousers</t>
        </is>
      </c>
      <c r="B871" t="n">
        <v>128</v>
      </c>
      <c r="C871" t="n">
        <v>28201</v>
      </c>
      <c r="D871" t="n">
        <v>15</v>
      </c>
      <c r="E871" t="n">
        <v>0</v>
      </c>
      <c r="F871" t="n">
        <v>8</v>
      </c>
      <c r="G871" t="n">
        <v>15</v>
      </c>
      <c r="H871" t="n">
        <v>16</v>
      </c>
      <c r="I871" t="n">
        <v>9</v>
      </c>
      <c r="J871" t="n">
        <v>6</v>
      </c>
      <c r="K871" t="n">
        <v>10</v>
      </c>
      <c r="L871" t="n">
        <v>0</v>
      </c>
      <c r="M871" t="n">
        <v>10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700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</row>
    <row r="872">
      <c r="A872" t="inlineStr">
        <is>
          <t>yacuruna_ring</t>
        </is>
      </c>
      <c r="B872" t="n">
        <v>24576</v>
      </c>
      <c r="C872" t="n">
        <v>28544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7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</row>
    <row r="873">
      <c r="A873" t="inlineStr">
        <is>
          <t>yacuruna_ring_+1</t>
        </is>
      </c>
      <c r="B873" t="n">
        <v>24576</v>
      </c>
      <c r="C873" t="n">
        <v>28545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8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</row>
    <row r="874">
      <c r="A874" t="inlineStr">
        <is>
          <t>yamarang</t>
        </is>
      </c>
      <c r="B874" t="n">
        <v>8</v>
      </c>
      <c r="C874" t="n">
        <v>22280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3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</row>
    <row r="875">
      <c r="A875" t="inlineStr">
        <is>
          <t>yaoyotl_helm</t>
        </is>
      </c>
      <c r="B875" t="n">
        <v>16</v>
      </c>
      <c r="C875" t="n">
        <v>27773</v>
      </c>
      <c r="D875" t="n">
        <v>25</v>
      </c>
      <c r="E875" t="n">
        <v>19</v>
      </c>
      <c r="F875" t="n">
        <v>25</v>
      </c>
      <c r="G875" t="n">
        <v>19</v>
      </c>
      <c r="H875" t="n">
        <v>17</v>
      </c>
      <c r="I875" t="n">
        <v>17</v>
      </c>
      <c r="J875" t="n">
        <v>17</v>
      </c>
      <c r="K875" t="n">
        <v>25</v>
      </c>
      <c r="L875" t="n">
        <v>0</v>
      </c>
      <c r="M875" t="n">
        <v>25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700</v>
      </c>
      <c r="T875" t="n">
        <v>0</v>
      </c>
      <c r="U875" t="n">
        <v>0</v>
      </c>
      <c r="V875" t="n">
        <v>0</v>
      </c>
      <c r="W875" t="n">
        <v>4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</row>
    <row r="876">
      <c r="A876" t="inlineStr">
        <is>
          <t>yemaya_belt</t>
        </is>
      </c>
      <c r="B876" t="n">
        <v>1024</v>
      </c>
      <c r="C876" t="n">
        <v>28411</v>
      </c>
      <c r="D876" t="n">
        <v>0</v>
      </c>
      <c r="E876" t="n">
        <v>0</v>
      </c>
      <c r="F876" t="n">
        <v>0</v>
      </c>
      <c r="G876" t="n">
        <v>7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4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</row>
    <row r="877">
      <c r="A877" t="inlineStr">
        <is>
          <t>yetshila</t>
        </is>
      </c>
      <c r="B877" t="n">
        <v>8</v>
      </c>
      <c r="C877" t="n">
        <v>21378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5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</row>
    <row r="878">
      <c r="A878" t="inlineStr">
        <is>
          <t>yetshila_+1</t>
        </is>
      </c>
      <c r="B878" t="n">
        <v>8</v>
      </c>
      <c r="C878" t="n">
        <v>21379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2</v>
      </c>
      <c r="O878" t="n">
        <v>6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</row>
    <row r="879">
      <c r="A879" t="inlineStr">
        <is>
          <t>yokaze_mantle</t>
        </is>
      </c>
      <c r="B879" t="n">
        <v>32768</v>
      </c>
      <c r="C879" t="n">
        <v>28629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15</v>
      </c>
      <c r="L879" t="n">
        <v>0</v>
      </c>
      <c r="M879" t="n">
        <v>15</v>
      </c>
      <c r="N879" t="n">
        <v>0</v>
      </c>
      <c r="O879" t="n">
        <v>0</v>
      </c>
      <c r="P879" t="n">
        <v>2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</row>
    <row r="880">
      <c r="A880" t="inlineStr">
        <is>
          <t>yorium_barbuta</t>
        </is>
      </c>
      <c r="B880" t="n">
        <v>16</v>
      </c>
      <c r="C880" t="n">
        <v>26733</v>
      </c>
      <c r="D880" t="n">
        <v>24</v>
      </c>
      <c r="E880" t="n">
        <v>16</v>
      </c>
      <c r="F880" t="n">
        <v>24</v>
      </c>
      <c r="G880" t="n">
        <v>16</v>
      </c>
      <c r="H880" t="n">
        <v>14</v>
      </c>
      <c r="I880" t="n">
        <v>14</v>
      </c>
      <c r="J880" t="n">
        <v>14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700</v>
      </c>
      <c r="T880" t="n">
        <v>0</v>
      </c>
      <c r="U880" t="n">
        <v>0</v>
      </c>
      <c r="V880" t="n">
        <v>0</v>
      </c>
      <c r="W880" t="n">
        <v>4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inlineStr">
        <is>
          <t>yorium_cuirass</t>
        </is>
      </c>
      <c r="B881" t="n">
        <v>32</v>
      </c>
      <c r="C881" t="n">
        <v>26891</v>
      </c>
      <c r="D881" t="n">
        <v>30</v>
      </c>
      <c r="E881" t="n">
        <v>17</v>
      </c>
      <c r="F881" t="n">
        <v>29</v>
      </c>
      <c r="G881" t="n">
        <v>16</v>
      </c>
      <c r="H881" t="n">
        <v>16</v>
      </c>
      <c r="I881" t="n">
        <v>16</v>
      </c>
      <c r="J881" t="n">
        <v>16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2</v>
      </c>
      <c r="Q881" t="n">
        <v>0</v>
      </c>
      <c r="R881" t="n">
        <v>0</v>
      </c>
      <c r="S881" t="n">
        <v>300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inlineStr">
        <is>
          <t>yorium_cuisses</t>
        </is>
      </c>
      <c r="B882" t="n">
        <v>128</v>
      </c>
      <c r="C882" t="n">
        <v>27232</v>
      </c>
      <c r="D882" t="n">
        <v>33</v>
      </c>
      <c r="E882" t="n">
        <v>0</v>
      </c>
      <c r="F882" t="n">
        <v>21</v>
      </c>
      <c r="G882" t="n">
        <v>14</v>
      </c>
      <c r="H882" t="n">
        <v>23</v>
      </c>
      <c r="I882" t="n">
        <v>10</v>
      </c>
      <c r="J882" t="n">
        <v>8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4</v>
      </c>
      <c r="Q882" t="n">
        <v>0</v>
      </c>
      <c r="R882" t="n">
        <v>0</v>
      </c>
      <c r="S882" t="n">
        <v>500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inlineStr">
        <is>
          <t>yorium_gauntlets</t>
        </is>
      </c>
      <c r="B883" t="n">
        <v>64</v>
      </c>
      <c r="C883" t="n">
        <v>27045</v>
      </c>
      <c r="D883" t="n">
        <v>8</v>
      </c>
      <c r="E883" t="n">
        <v>25</v>
      </c>
      <c r="F883" t="n">
        <v>31</v>
      </c>
      <c r="G883" t="n">
        <v>-4</v>
      </c>
      <c r="H883" t="n">
        <v>4</v>
      </c>
      <c r="I883" t="n">
        <v>21</v>
      </c>
      <c r="J883" t="n">
        <v>15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400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inlineStr">
        <is>
          <t>yorium_sabatons</t>
        </is>
      </c>
      <c r="B884" t="n">
        <v>256</v>
      </c>
      <c r="C884" t="n">
        <v>27402</v>
      </c>
      <c r="D884" t="n">
        <v>15</v>
      </c>
      <c r="E884" t="n">
        <v>9</v>
      </c>
      <c r="F884" t="n">
        <v>16</v>
      </c>
      <c r="G884" t="n">
        <v>26</v>
      </c>
      <c r="H884" t="n">
        <v>0</v>
      </c>
      <c r="I884" t="n">
        <v>7</v>
      </c>
      <c r="J884" t="n">
        <v>23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300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inlineStr">
        <is>
          <t>zennaroi_earring</t>
        </is>
      </c>
      <c r="B885" t="n">
        <v>6144</v>
      </c>
      <c r="C885" t="n">
        <v>28496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12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inlineStr">
        <is>
          <t>zoar_subligar</t>
        </is>
      </c>
      <c r="B886" t="n">
        <v>128</v>
      </c>
      <c r="C886" t="n">
        <v>27230</v>
      </c>
      <c r="D886" t="n">
        <v>29</v>
      </c>
      <c r="E886" t="n">
        <v>0</v>
      </c>
      <c r="F886" t="n">
        <v>16</v>
      </c>
      <c r="G886" t="n">
        <v>20</v>
      </c>
      <c r="H886" t="n">
        <v>30</v>
      </c>
      <c r="I886" t="n">
        <v>17</v>
      </c>
      <c r="J886" t="n">
        <v>11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5</v>
      </c>
      <c r="Q886" t="n">
        <v>2</v>
      </c>
      <c r="R886" t="n">
        <v>0</v>
      </c>
      <c r="S886" t="n">
        <v>600</v>
      </c>
      <c r="T886" t="n">
        <v>0</v>
      </c>
      <c r="U886" t="n">
        <v>0</v>
      </c>
      <c r="V886" t="n">
        <v>0</v>
      </c>
      <c r="W886" t="n">
        <v>-4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</row>
    <row r="887">
      <c r="A887" t="inlineStr">
        <is>
          <t>zoar_subligar_+1</t>
        </is>
      </c>
      <c r="B887" t="n">
        <v>128</v>
      </c>
      <c r="C887" t="n">
        <v>27231</v>
      </c>
      <c r="D887" t="n">
        <v>29</v>
      </c>
      <c r="E887" t="n">
        <v>0</v>
      </c>
      <c r="F887" t="n">
        <v>16</v>
      </c>
      <c r="G887" t="n">
        <v>20</v>
      </c>
      <c r="H887" t="n">
        <v>30</v>
      </c>
      <c r="I887" t="n">
        <v>17</v>
      </c>
      <c r="J887" t="n">
        <v>11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3</v>
      </c>
      <c r="R887" t="n">
        <v>0</v>
      </c>
      <c r="S887" t="n">
        <v>600</v>
      </c>
      <c r="T887" t="n">
        <v>0</v>
      </c>
      <c r="U887" t="n">
        <v>0</v>
      </c>
      <c r="V887" t="n">
        <v>0</v>
      </c>
      <c r="W887" t="n">
        <v>-5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</row>
    <row r="888">
      <c r="A888" t="inlineStr">
        <is>
          <t>zorans_belt</t>
        </is>
      </c>
      <c r="B888" t="n">
        <v>1024</v>
      </c>
      <c r="C888" t="n">
        <v>28463</v>
      </c>
      <c r="D888" t="n">
        <v>0</v>
      </c>
      <c r="E888" t="n">
        <v>7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14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700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6" t="inlineStr">
        <is>
          <t>label</t>
        </is>
      </c>
      <c r="B1" s="6" t="inlineStr">
        <is>
          <t>augId</t>
        </is>
      </c>
      <c r="C1" s="6" t="inlineStr">
        <is>
          <t>STR</t>
        </is>
      </c>
      <c r="D1" s="6" t="inlineStr">
        <is>
          <t>DEX</t>
        </is>
      </c>
      <c r="E1" s="6" t="inlineStr">
        <is>
          <t>VIT</t>
        </is>
      </c>
      <c r="F1" s="6" t="inlineStr">
        <is>
          <t>AGI</t>
        </is>
      </c>
      <c r="G1" s="6" t="inlineStr">
        <is>
          <t>INT</t>
        </is>
      </c>
      <c r="H1" s="6" t="inlineStr">
        <is>
          <t>MND</t>
        </is>
      </c>
      <c r="I1" s="6" t="inlineStr">
        <is>
          <t>CHR</t>
        </is>
      </c>
      <c r="J1" s="6" t="inlineStr">
        <is>
          <t>ATT</t>
        </is>
      </c>
      <c r="K1" s="6" t="inlineStr">
        <is>
          <t>ATTP</t>
        </is>
      </c>
      <c r="L1" s="6" t="inlineStr">
        <is>
          <t>ACC</t>
        </is>
      </c>
      <c r="M1" s="6" t="inlineStr">
        <is>
          <t>CRITHITRATE</t>
        </is>
      </c>
      <c r="N1" s="6" t="inlineStr">
        <is>
          <t>CRIT_DMG_INCREASE</t>
        </is>
      </c>
      <c r="O1" s="6" t="inlineStr">
        <is>
          <t>DOUBLE_ATTACK</t>
        </is>
      </c>
      <c r="P1" s="6" t="inlineStr">
        <is>
          <t>TRIPLE_ATTACK</t>
        </is>
      </c>
      <c r="Q1" s="6" t="inlineStr">
        <is>
          <t>QUAD_ATTACK</t>
        </is>
      </c>
      <c r="R1" s="6" t="inlineStr">
        <is>
          <t>HASTE_GEAR</t>
        </is>
      </c>
      <c r="S1" s="6" t="inlineStr">
        <is>
          <t>HASTE_MAGIC</t>
        </is>
      </c>
      <c r="T1" s="6" t="inlineStr">
        <is>
          <t>HASTE_ABILITY</t>
        </is>
      </c>
      <c r="U1" s="6" t="inlineStr">
        <is>
          <t>DUAL_WIELD</t>
        </is>
      </c>
      <c r="V1" s="6" t="inlineStr">
        <is>
          <t>STORETP</t>
        </is>
      </c>
      <c r="W1" s="6" t="inlineStr">
        <is>
          <t>TP_BONUS</t>
        </is>
      </c>
      <c r="X1" s="6" t="inlineStr">
        <is>
          <t>ALL_WSDMG_ALL_HITS</t>
        </is>
      </c>
      <c r="Y1" s="6" t="inlineStr">
        <is>
          <t>ALL_WSDMG_FIRST_HIT</t>
        </is>
      </c>
      <c r="Z1" s="6" t="inlineStr">
        <is>
          <t>ANY_FTP_BONUS</t>
        </is>
      </c>
      <c r="AA1" s="6" t="inlineStr">
        <is>
          <t>WSACC</t>
        </is>
      </c>
      <c r="AB1" s="6" t="inlineStr">
        <is>
          <t>WSDMG_225</t>
        </is>
      </c>
    </row>
    <row r="2">
      <c r="A2" t="inlineStr">
        <is>
          <t>Accuracy +1 Attack +1</t>
        </is>
      </c>
      <c r="B2" t="n">
        <v>68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Accuracy +33</t>
        </is>
      </c>
      <c r="B3" t="n">
        <v>62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Accuracy+1</t>
        </is>
      </c>
      <c r="B4" t="n">
        <v>23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Accuracy+1 Rng.Acc.+1</t>
        </is>
      </c>
      <c r="B5" t="n">
        <v>129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AGI+1</t>
        </is>
      </c>
      <c r="B6" t="n">
        <v>515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Attack +33</t>
        </is>
      </c>
      <c r="B7" t="n">
        <v>65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Attack+1</t>
        </is>
      </c>
      <c r="B8" t="n">
        <v>25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Attack+1 Rng.Atk.+1</t>
        </is>
      </c>
      <c r="B9" t="n">
        <v>130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CHR+1</t>
        </is>
      </c>
      <c r="B10" t="n">
        <v>518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Crit. hit damage+1%</t>
        </is>
      </c>
      <c r="B11" t="n">
        <v>328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Crit.hit rate+1%</t>
        </is>
      </c>
      <c r="B12" t="n">
        <v>41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Dbl.Atk.+1%</t>
        </is>
      </c>
      <c r="B13" t="n">
        <v>143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Dbl.Atk.+1% Crit.hit rate+1%</t>
        </is>
      </c>
      <c r="B14" t="n">
        <v>132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DEX+1</t>
        </is>
      </c>
      <c r="B15" t="n">
        <v>513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DEX+1 AGI+1</t>
        </is>
      </c>
      <c r="B16" t="n">
        <v>553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Dual Wield+1</t>
        </is>
      </c>
      <c r="B17" t="n">
        <v>146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Haste+1</t>
        </is>
      </c>
      <c r="B18" t="n">
        <v>49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INT+1</t>
        </is>
      </c>
      <c r="B19" t="n">
        <v>516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INT+1 MND+1</t>
        </is>
      </c>
      <c r="B20" t="n">
        <v>554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INT+1 MND+1 CHR+1</t>
        </is>
      </c>
      <c r="B21" t="n">
        <v>556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MND+1</t>
        </is>
      </c>
      <c r="B22" t="n">
        <v>517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MND+1 CHR+1</t>
        </is>
      </c>
      <c r="B23" t="n">
        <v>555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Quadruple Attack+1%</t>
        </is>
      </c>
      <c r="B24" t="n">
        <v>354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Slow+1</t>
        </is>
      </c>
      <c r="B25" t="n">
        <v>50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-100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Store TP+1</t>
        </is>
      </c>
      <c r="B26" t="n">
        <v>142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Store TP+1 Subtle Blow+1</t>
        </is>
      </c>
      <c r="B27" t="n">
        <v>44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STR+1</t>
        </is>
      </c>
      <c r="B28" t="n">
        <v>512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STR+1 AGI+1</t>
        </is>
      </c>
      <c r="B29" t="n">
        <v>552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STR+1 CHR+1</t>
        </is>
      </c>
      <c r="B30" t="n">
        <v>557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STR+1 DEX+1</t>
        </is>
      </c>
      <c r="B31" t="n">
        <v>550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STR+1 INT+1</t>
        </is>
      </c>
      <c r="B32" t="n">
        <v>558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STR+1 MND+1</t>
        </is>
      </c>
      <c r="B33" t="n">
        <v>559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STR+1 VIT+1</t>
        </is>
      </c>
      <c r="B34" t="n">
        <v>551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TP Bonus +50</t>
        </is>
      </c>
      <c r="B35" t="n">
        <v>353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Triple Atk.+1%</t>
        </is>
      </c>
      <c r="B36" t="n">
        <v>144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VIT+1</t>
        </is>
      </c>
      <c r="B37" t="n">
        <v>514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Weapon Skill Acc.+1</t>
        </is>
      </c>
      <c r="B38" t="n">
        <v>326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</row>
    <row r="39">
      <c r="A39" t="inlineStr">
        <is>
          <t>Weapon skill damage+1% "However, some sources apply to all swings of the weapon skill (like Magian Trials Weapon Skill Damage +n% weapons)" (i.e. this indicates the augment is for all hits)</t>
        </is>
      </c>
      <c r="B39" t="n">
        <v>327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Weapon Skill:DMG+5% (increases by 5)</t>
        </is>
      </c>
      <c r="B40" t="n">
        <v>1080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</v>
      </c>
      <c r="Y40" t="n">
        <v>0</v>
      </c>
      <c r="Z40" t="n">
        <v>0</v>
      </c>
      <c r="AA40" t="n">
        <v>0</v>
      </c>
      <c r="AB4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6" t="inlineStr">
        <is>
          <t>name</t>
        </is>
      </c>
      <c r="B1" s="6" t="inlineStr">
        <is>
          <t>numHits</t>
        </is>
      </c>
      <c r="C1" s="6" t="inlineStr">
        <is>
          <t>ftp1</t>
        </is>
      </c>
      <c r="D1" s="6" t="inlineStr">
        <is>
          <t>ftp2</t>
        </is>
      </c>
      <c r="E1" s="6" t="inlineStr">
        <is>
          <t>ftp3</t>
        </is>
      </c>
      <c r="F1" s="6" t="inlineStr">
        <is>
          <t>STR</t>
        </is>
      </c>
      <c r="G1" s="6" t="inlineStr">
        <is>
          <t>DEX</t>
        </is>
      </c>
      <c r="H1" s="6" t="inlineStr">
        <is>
          <t>VIT</t>
        </is>
      </c>
      <c r="I1" s="6" t="inlineStr">
        <is>
          <t>AGI</t>
        </is>
      </c>
      <c r="J1" s="6" t="inlineStr">
        <is>
          <t>INT</t>
        </is>
      </c>
      <c r="K1" s="6" t="inlineStr">
        <is>
          <t>MND</t>
        </is>
      </c>
      <c r="L1" s="6" t="inlineStr">
        <is>
          <t>CHR</t>
        </is>
      </c>
      <c r="M1" s="6" t="inlineStr">
        <is>
          <t>atk1</t>
        </is>
      </c>
      <c r="N1" s="6" t="inlineStr">
        <is>
          <t>atk2</t>
        </is>
      </c>
      <c r="O1" s="6" t="inlineStr">
        <is>
          <t>atk3</t>
        </is>
      </c>
      <c r="P1" s="6" t="inlineStr">
        <is>
          <t>ign1</t>
        </is>
      </c>
      <c r="Q1" s="6" t="inlineStr">
        <is>
          <t>ign2</t>
        </is>
      </c>
      <c r="R1" s="6" t="inlineStr">
        <is>
          <t>ign3</t>
        </is>
      </c>
      <c r="S1" s="6" t="inlineStr">
        <is>
          <t>has_ign</t>
        </is>
      </c>
      <c r="T1" s="6" t="inlineStr">
        <is>
          <t>crit1</t>
        </is>
      </c>
      <c r="U1" s="6" t="inlineStr">
        <is>
          <t>crit2</t>
        </is>
      </c>
      <c r="V1" s="6" t="inlineStr">
        <is>
          <t>crit3</t>
        </is>
      </c>
      <c r="W1" s="6" t="inlineStr">
        <is>
          <t>has_crit</t>
        </is>
      </c>
      <c r="X1" s="6" t="inlineStr">
        <is>
          <t>multiHitFtp</t>
        </is>
      </c>
      <c r="Y1" s="6" t="inlineStr">
        <is>
          <t>wsId</t>
        </is>
      </c>
    </row>
    <row r="2">
      <c r="A2" t="inlineStr">
        <is>
          <t>atonement</t>
        </is>
      </c>
      <c r="B2" t="n">
        <v>2</v>
      </c>
      <c r="C2" t="n">
        <v>1</v>
      </c>
      <c r="D2" t="n">
        <v>1.25</v>
      </c>
      <c r="E2" t="n">
        <v>1.5</v>
      </c>
      <c r="F2" t="n">
        <v>0.4</v>
      </c>
      <c r="G2" t="n">
        <v>0</v>
      </c>
      <c r="H2" t="n">
        <v>0.5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45</v>
      </c>
    </row>
    <row r="3">
      <c r="A3" t="inlineStr">
        <is>
          <t>chant_du_cygne</t>
        </is>
      </c>
      <c r="B3" t="n">
        <v>3</v>
      </c>
      <c r="C3" t="n">
        <v>1.6328125</v>
      </c>
      <c r="D3" t="n">
        <v>1.6328125</v>
      </c>
      <c r="E3" t="n">
        <v>1.6328125</v>
      </c>
      <c r="F3" t="n">
        <v>0</v>
      </c>
      <c r="G3" t="n">
        <v>0.8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0.15</v>
      </c>
      <c r="U3" t="n">
        <v>0.25</v>
      </c>
      <c r="V3" t="n">
        <v>0.4</v>
      </c>
      <c r="W3" t="n">
        <v>1</v>
      </c>
      <c r="X3" t="n">
        <v>1</v>
      </c>
      <c r="Y3" t="n">
        <v>225</v>
      </c>
    </row>
    <row r="4">
      <c r="A4" t="inlineStr">
        <is>
          <t>circle_blade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38</v>
      </c>
    </row>
    <row r="5">
      <c r="A5" t="inlineStr">
        <is>
          <t>fast_blade</t>
        </is>
      </c>
      <c r="B5" t="n">
        <v>2</v>
      </c>
      <c r="C5" t="n">
        <v>1</v>
      </c>
      <c r="D5" t="n">
        <v>1.5</v>
      </c>
      <c r="E5" t="n">
        <v>2</v>
      </c>
      <c r="F5" t="n">
        <v>0.4</v>
      </c>
      <c r="G5" t="n">
        <v>0.4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32</v>
      </c>
    </row>
    <row r="6">
      <c r="A6" t="inlineStr">
        <is>
          <t>flat_blade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35</v>
      </c>
    </row>
    <row r="7">
      <c r="A7" t="inlineStr">
        <is>
          <t>glory_slash</t>
        </is>
      </c>
      <c r="B7" t="n">
        <v>1</v>
      </c>
      <c r="C7" t="n">
        <v>3</v>
      </c>
      <c r="D7" t="n">
        <v>3.5</v>
      </c>
      <c r="E7" t="n">
        <v>4</v>
      </c>
      <c r="F7" t="n">
        <v>0.3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239</v>
      </c>
    </row>
    <row r="8">
      <c r="A8" t="inlineStr">
        <is>
          <t>knights_of_rotund</t>
        </is>
      </c>
      <c r="B8" t="n">
        <v>1</v>
      </c>
      <c r="C8" t="n">
        <v>3</v>
      </c>
      <c r="D8" t="n">
        <v>3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227</v>
      </c>
    </row>
    <row r="9">
      <c r="A9" t="inlineStr">
        <is>
          <t>knights_of_round</t>
        </is>
      </c>
      <c r="B9" t="n">
        <v>1</v>
      </c>
      <c r="C9" t="n">
        <v>5</v>
      </c>
      <c r="D9" t="n">
        <v>5</v>
      </c>
      <c r="E9" t="n">
        <v>5</v>
      </c>
      <c r="F9" t="n">
        <v>0.4</v>
      </c>
      <c r="G9" t="n">
        <v>0</v>
      </c>
      <c r="H9" t="n">
        <v>0</v>
      </c>
      <c r="I9" t="n">
        <v>0</v>
      </c>
      <c r="J9" t="n">
        <v>0</v>
      </c>
      <c r="K9" t="n">
        <v>0.4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43</v>
      </c>
    </row>
    <row r="10">
      <c r="A10" t="inlineStr">
        <is>
          <t>requiescat</t>
        </is>
      </c>
      <c r="B10" t="n">
        <v>5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0.85</v>
      </c>
      <c r="L10" t="n">
        <v>0</v>
      </c>
      <c r="M10" t="n">
        <v>0.8</v>
      </c>
      <c r="N10" t="n">
        <v>0.9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226</v>
      </c>
    </row>
    <row r="11">
      <c r="A11" t="inlineStr">
        <is>
          <t>savage_blade</t>
        </is>
      </c>
      <c r="B11" t="n">
        <v>2</v>
      </c>
      <c r="C11" t="n">
        <v>4</v>
      </c>
      <c r="D11" t="n">
        <v>10.25</v>
      </c>
      <c r="E11" t="n">
        <v>13.75</v>
      </c>
      <c r="F11" t="n">
        <v>0.5</v>
      </c>
      <c r="G11" t="n">
        <v>0</v>
      </c>
      <c r="H11" t="n">
        <v>0</v>
      </c>
      <c r="I11" t="n">
        <v>0</v>
      </c>
      <c r="J11" t="n">
        <v>0</v>
      </c>
      <c r="K11" t="n">
        <v>0.5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42</v>
      </c>
    </row>
    <row r="12">
      <c r="A12" t="inlineStr">
        <is>
          <t>swift_blade</t>
        </is>
      </c>
      <c r="B12" t="n">
        <v>3</v>
      </c>
      <c r="C12" t="n">
        <v>1.5</v>
      </c>
      <c r="D12" t="n">
        <v>1.5</v>
      </c>
      <c r="E12" t="n">
        <v>1.5</v>
      </c>
      <c r="F12" t="n">
        <v>0.5</v>
      </c>
      <c r="G12" t="n">
        <v>0</v>
      </c>
      <c r="H12" t="n">
        <v>0</v>
      </c>
      <c r="I12" t="n">
        <v>0</v>
      </c>
      <c r="J12" t="n">
        <v>0</v>
      </c>
      <c r="K12" t="n">
        <v>0.5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41</v>
      </c>
    </row>
    <row r="13">
      <c r="A13" t="inlineStr">
        <is>
          <t>vorpal_blade</t>
        </is>
      </c>
      <c r="B13" t="n">
        <v>4</v>
      </c>
      <c r="C13" t="n">
        <v>1.375</v>
      </c>
      <c r="D13" t="n">
        <v>1.375</v>
      </c>
      <c r="E13" t="n">
        <v>1.375</v>
      </c>
      <c r="F13" t="n">
        <v>0.6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0.1</v>
      </c>
      <c r="U13" t="n">
        <v>0.3</v>
      </c>
      <c r="V13" t="n">
        <v>0.5</v>
      </c>
      <c r="W13" t="n">
        <v>1</v>
      </c>
      <c r="X13" t="n">
        <v>1</v>
      </c>
      <c r="Y13" t="n">
        <v>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6" t="inlineStr">
        <is>
          <t>name</t>
        </is>
      </c>
      <c r="B1" s="6" t="inlineStr">
        <is>
          <t>DEF</t>
        </is>
      </c>
      <c r="C1" s="6" t="inlineStr">
        <is>
          <t>EVA</t>
        </is>
      </c>
      <c r="D1" s="6" t="inlineStr">
        <is>
          <t>VIT</t>
        </is>
      </c>
      <c r="E1" s="6" t="inlineStr">
        <is>
          <t>AGI</t>
        </is>
      </c>
      <c r="F1" s="6" t="inlineStr">
        <is>
          <t>CRIT_EVA</t>
        </is>
      </c>
      <c r="G1" s="6" t="inlineStr">
        <is>
          <t>CRIT_DEF</t>
        </is>
      </c>
      <c r="H1" s="6" t="inlineStr">
        <is>
          <t>tier</t>
        </is>
      </c>
      <c r="I1" s="6" t="inlineStr">
        <is>
          <t>label</t>
        </is>
      </c>
    </row>
    <row r="2">
      <c r="A2" t="inlineStr">
        <is>
          <t>Leaping Lizzy</t>
        </is>
      </c>
      <c r="B2" t="n">
        <v>350</v>
      </c>
      <c r="C2" t="n">
        <v>100</v>
      </c>
      <c r="D2" t="n">
        <v>150</v>
      </c>
      <c r="E2" t="n">
        <v>150</v>
      </c>
      <c r="F2" t="n">
        <v>0</v>
      </c>
      <c r="G2" t="n">
        <v>0</v>
      </c>
      <c r="H2" t="n">
        <v>1</v>
      </c>
      <c r="I2" t="inlineStr">
        <is>
          <t>Leaping Lizzy</t>
        </is>
      </c>
    </row>
    <row r="3">
      <c r="A3" t="inlineStr">
        <is>
          <t>Tom Tit Tat</t>
        </is>
      </c>
      <c r="B3" t="n">
        <v>350</v>
      </c>
      <c r="C3" t="n">
        <v>100</v>
      </c>
      <c r="D3" t="n">
        <v>150</v>
      </c>
      <c r="E3" t="n">
        <v>150</v>
      </c>
      <c r="F3" t="n">
        <v>0</v>
      </c>
      <c r="G3" t="n">
        <v>0</v>
      </c>
      <c r="H3" t="n">
        <v>1</v>
      </c>
      <c r="I3" t="inlineStr">
        <is>
          <t>Tom Tit Tat</t>
        </is>
      </c>
    </row>
    <row r="4">
      <c r="A4" t="inlineStr">
        <is>
          <t>Valkurm Emperor</t>
        </is>
      </c>
      <c r="B4" t="n">
        <v>350</v>
      </c>
      <c r="C4" t="n">
        <v>100</v>
      </c>
      <c r="D4" t="n">
        <v>150</v>
      </c>
      <c r="E4" t="n">
        <v>150</v>
      </c>
      <c r="F4" t="n">
        <v>0</v>
      </c>
      <c r="G4" t="n">
        <v>0</v>
      </c>
      <c r="H4" t="n">
        <v>1</v>
      </c>
      <c r="I4" t="inlineStr">
        <is>
          <t>Valkurm Emperor</t>
        </is>
      </c>
    </row>
    <row r="5">
      <c r="A5" t="inlineStr">
        <is>
          <t>Aquarius</t>
        </is>
      </c>
      <c r="B5" t="n">
        <v>600</v>
      </c>
      <c r="C5" t="n">
        <v>150</v>
      </c>
      <c r="D5" t="n">
        <v>150</v>
      </c>
      <c r="E5" t="n">
        <v>150</v>
      </c>
      <c r="F5" t="n">
        <v>0</v>
      </c>
      <c r="G5" t="n">
        <v>0</v>
      </c>
      <c r="H5" t="n">
        <v>2</v>
      </c>
      <c r="I5" t="inlineStr">
        <is>
          <t>Aquarius</t>
        </is>
      </c>
    </row>
    <row r="6">
      <c r="A6" t="inlineStr">
        <is>
          <t>Bomb Queen</t>
        </is>
      </c>
      <c r="B6" t="n">
        <v>600</v>
      </c>
      <c r="C6" t="n">
        <v>150</v>
      </c>
      <c r="D6" t="n">
        <v>150</v>
      </c>
      <c r="E6" t="n">
        <v>150</v>
      </c>
      <c r="F6" t="n">
        <v>0</v>
      </c>
      <c r="G6" t="n">
        <v>0</v>
      </c>
      <c r="H6" t="n">
        <v>2</v>
      </c>
      <c r="I6" t="inlineStr">
        <is>
          <t>Bomb Queen</t>
        </is>
      </c>
    </row>
    <row r="7">
      <c r="A7" t="inlineStr">
        <is>
          <t>Roc</t>
        </is>
      </c>
      <c r="B7" t="n">
        <v>600</v>
      </c>
      <c r="C7" t="n">
        <v>150</v>
      </c>
      <c r="D7" t="n">
        <v>150</v>
      </c>
      <c r="E7" t="n">
        <v>150</v>
      </c>
      <c r="F7" t="n">
        <v>0</v>
      </c>
      <c r="G7" t="n">
        <v>0</v>
      </c>
      <c r="H7" t="n">
        <v>2</v>
      </c>
      <c r="I7" t="inlineStr">
        <is>
          <t>Roc</t>
        </is>
      </c>
    </row>
    <row r="8">
      <c r="A8" t="inlineStr">
        <is>
          <t>Serket</t>
        </is>
      </c>
      <c r="B8" t="n">
        <v>900</v>
      </c>
      <c r="C8" t="n">
        <v>250</v>
      </c>
      <c r="D8" t="n">
        <v>150</v>
      </c>
      <c r="E8" t="n">
        <v>150</v>
      </c>
      <c r="F8" t="n">
        <v>0</v>
      </c>
      <c r="G8" t="n">
        <v>0</v>
      </c>
      <c r="H8" t="n">
        <v>3</v>
      </c>
      <c r="I8" t="inlineStr">
        <is>
          <t>Serket</t>
        </is>
      </c>
    </row>
    <row r="9">
      <c r="A9" t="inlineStr">
        <is>
          <t>Simurgh</t>
        </is>
      </c>
      <c r="B9" t="n">
        <v>900</v>
      </c>
      <c r="C9" t="n">
        <v>250</v>
      </c>
      <c r="D9" t="n">
        <v>150</v>
      </c>
      <c r="E9" t="n">
        <v>150</v>
      </c>
      <c r="F9" t="n">
        <v>0</v>
      </c>
      <c r="G9" t="n">
        <v>0</v>
      </c>
      <c r="H9" t="n">
        <v>3</v>
      </c>
      <c r="I9" t="inlineStr">
        <is>
          <t>Simurgh</t>
        </is>
      </c>
    </row>
    <row r="10">
      <c r="A10" t="inlineStr">
        <is>
          <t>Vrtra</t>
        </is>
      </c>
      <c r="B10" t="n">
        <v>900</v>
      </c>
      <c r="C10" t="n">
        <v>250</v>
      </c>
      <c r="D10" t="n">
        <v>150</v>
      </c>
      <c r="E10" t="n">
        <v>150</v>
      </c>
      <c r="F10" t="n">
        <v>0</v>
      </c>
      <c r="G10" t="n">
        <v>0</v>
      </c>
      <c r="H10" t="n">
        <v>3</v>
      </c>
      <c r="I10" t="inlineStr">
        <is>
          <t>Vrtra</t>
        </is>
      </c>
    </row>
    <row r="11">
      <c r="A11" t="inlineStr">
        <is>
          <t>King Behemoth</t>
        </is>
      </c>
      <c r="B11" t="n">
        <v>1300</v>
      </c>
      <c r="C11" t="n">
        <v>350</v>
      </c>
      <c r="D11" t="n">
        <v>150</v>
      </c>
      <c r="E11" t="n">
        <v>150</v>
      </c>
      <c r="F11" t="n">
        <v>0</v>
      </c>
      <c r="G11" t="n">
        <v>0</v>
      </c>
      <c r="H11" t="n">
        <v>4</v>
      </c>
      <c r="I11" t="inlineStr">
        <is>
          <t>King Behemoth</t>
        </is>
      </c>
    </row>
    <row r="12">
      <c r="A12" t="inlineStr">
        <is>
          <t>Kirin</t>
        </is>
      </c>
      <c r="B12" t="n">
        <v>1300</v>
      </c>
      <c r="C12" t="n">
        <v>350</v>
      </c>
      <c r="D12" t="n">
        <v>150</v>
      </c>
      <c r="E12" t="n">
        <v>150</v>
      </c>
      <c r="F12" t="n">
        <v>0</v>
      </c>
      <c r="G12" t="n">
        <v>0</v>
      </c>
      <c r="H12" t="n">
        <v>4</v>
      </c>
      <c r="I12" t="inlineStr">
        <is>
          <t>Kirin</t>
        </is>
      </c>
    </row>
    <row r="13">
      <c r="A13" t="inlineStr">
        <is>
          <t>Nidhogg</t>
        </is>
      </c>
      <c r="B13" t="n">
        <v>1300</v>
      </c>
      <c r="C13" t="n">
        <v>350</v>
      </c>
      <c r="D13" t="n">
        <v>150</v>
      </c>
      <c r="E13" t="n">
        <v>150</v>
      </c>
      <c r="F13" t="n">
        <v>0</v>
      </c>
      <c r="G13" t="n">
        <v>0</v>
      </c>
      <c r="H13" t="n">
        <v>4</v>
      </c>
      <c r="I13" t="inlineStr">
        <is>
          <t>Nidhogg</t>
        </is>
      </c>
    </row>
    <row r="14">
      <c r="A14" t="inlineStr">
        <is>
          <t>Absolute Virtue</t>
        </is>
      </c>
      <c r="B14" t="n">
        <v>2000</v>
      </c>
      <c r="C14" t="n">
        <v>500</v>
      </c>
      <c r="D14" t="n">
        <v>150</v>
      </c>
      <c r="E14" t="n">
        <v>150</v>
      </c>
      <c r="F14" t="n">
        <v>0</v>
      </c>
      <c r="G14" t="n">
        <v>0</v>
      </c>
      <c r="H14" t="n">
        <v>5</v>
      </c>
      <c r="I14" t="inlineStr">
        <is>
          <t>Absolute Virtue</t>
        </is>
      </c>
    </row>
    <row r="15">
      <c r="A15" t="inlineStr">
        <is>
          <t>Pandemonium Warden</t>
        </is>
      </c>
      <c r="B15" t="n">
        <v>2000</v>
      </c>
      <c r="C15" t="n">
        <v>500</v>
      </c>
      <c r="D15" t="n">
        <v>150</v>
      </c>
      <c r="E15" t="n">
        <v>150</v>
      </c>
      <c r="F15" t="n">
        <v>0</v>
      </c>
      <c r="G15" t="n">
        <v>0</v>
      </c>
      <c r="H15" t="n">
        <v>5</v>
      </c>
      <c r="I15" t="inlineStr">
        <is>
          <t>Pandemonium Warden</t>
        </is>
      </c>
    </row>
    <row r="16">
      <c r="A16" t="inlineStr">
        <is>
          <t>Shinryu</t>
        </is>
      </c>
      <c r="B16" t="n">
        <v>8000</v>
      </c>
      <c r="C16" t="n">
        <v>4000</v>
      </c>
      <c r="D16" t="n">
        <v>250</v>
      </c>
      <c r="E16" t="n">
        <v>250</v>
      </c>
      <c r="F16" t="n">
        <v>0</v>
      </c>
      <c r="G16" t="n">
        <v>0</v>
      </c>
      <c r="H16" t="n">
        <v>5</v>
      </c>
      <c r="I16" t="inlineStr">
        <is>
          <t>Shinryu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range</t>
        </is>
      </c>
      <c r="B1" s="4" t="inlineStr">
        <is>
          <t>ammo</t>
        </is>
      </c>
      <c r="C1" s="4" t="inlineStr">
        <is>
          <t>head</t>
        </is>
      </c>
      <c r="D1" s="4" t="inlineStr">
        <is>
          <t>body</t>
        </is>
      </c>
      <c r="E1" s="4" t="inlineStr">
        <is>
          <t>hands</t>
        </is>
      </c>
      <c r="F1" s="4" t="inlineStr">
        <is>
          <t>legs</t>
        </is>
      </c>
      <c r="G1" s="4" t="inlineStr">
        <is>
          <t>feet</t>
        </is>
      </c>
      <c r="H1" s="4" t="inlineStr">
        <is>
          <t>neck</t>
        </is>
      </c>
      <c r="I1" s="4" t="inlineStr">
        <is>
          <t>waist</t>
        </is>
      </c>
      <c r="J1" s="4" t="inlineStr">
        <is>
          <t>ear1</t>
        </is>
      </c>
      <c r="K1" s="4" t="inlineStr">
        <is>
          <t>ear2</t>
        </is>
      </c>
      <c r="L1" s="4" t="inlineStr">
        <is>
          <t>ring1</t>
        </is>
      </c>
      <c r="M1" s="4" t="inlineStr">
        <is>
          <t>ring2</t>
        </is>
      </c>
      <c r="N1" s="4" t="inlineStr">
        <is>
          <t>back</t>
        </is>
      </c>
      <c r="O1" s="4" t="inlineStr">
        <is>
          <t>augments</t>
        </is>
      </c>
      <c r="P1" s="4" t="inlineStr">
        <is>
          <t>freemods</t>
        </is>
      </c>
    </row>
    <row r="2">
      <c r="A2" t="inlineStr">
        <is>
          <t>(keep equipped)</t>
        </is>
      </c>
      <c r="B2" t="inlineStr">
        <is>
          <t>(keep equipped)</t>
        </is>
      </c>
      <c r="C2" t="inlineStr">
        <is>
          <t>(keep equipped)</t>
        </is>
      </c>
      <c r="D2" t="inlineStr">
        <is>
          <t>(keep equipped)</t>
        </is>
      </c>
      <c r="E2" t="inlineStr">
        <is>
          <t>(keep equipped)</t>
        </is>
      </c>
      <c r="F2" t="inlineStr">
        <is>
          <t>(keep equipped)</t>
        </is>
      </c>
      <c r="G2" t="inlineStr">
        <is>
          <t>(keep equipped)</t>
        </is>
      </c>
      <c r="H2" t="inlineStr">
        <is>
          <t>(keep equipped)</t>
        </is>
      </c>
      <c r="I2" t="inlineStr">
        <is>
          <t>(keep equipped)</t>
        </is>
      </c>
      <c r="J2" t="inlineStr">
        <is>
          <t>(keep equipped)</t>
        </is>
      </c>
      <c r="K2" t="inlineStr">
        <is>
          <t>(keep equipped)</t>
        </is>
      </c>
      <c r="L2" t="inlineStr">
        <is>
          <t>(keep equipped)</t>
        </is>
      </c>
      <c r="M2" t="inlineStr">
        <is>
          <t>(keep equipped)</t>
        </is>
      </c>
      <c r="N2" t="inlineStr">
        <is>
          <t>(keep equipped)</t>
        </is>
      </c>
      <c r="O2" t="inlineStr">
        <is>
          <t>(none)</t>
        </is>
      </c>
      <c r="P2" t="inlineStr">
        <is>
          <t>(none)</t>
        </is>
      </c>
    </row>
    <row r="3">
      <c r="A3" t="inlineStr">
        <is>
          <t>(none)</t>
        </is>
      </c>
      <c r="B3" t="inlineStr">
        <is>
          <t>(none)</t>
        </is>
      </c>
      <c r="C3" t="inlineStr">
        <is>
          <t>(none)</t>
        </is>
      </c>
      <c r="D3" t="inlineStr">
        <is>
          <t>(none)</t>
        </is>
      </c>
      <c r="E3" t="inlineStr">
        <is>
          <t>(none)</t>
        </is>
      </c>
      <c r="F3" t="inlineStr">
        <is>
          <t>(none)</t>
        </is>
      </c>
      <c r="G3" t="inlineStr">
        <is>
          <t>(none)</t>
        </is>
      </c>
      <c r="H3" t="inlineStr">
        <is>
          <t>(none)</t>
        </is>
      </c>
      <c r="I3" t="inlineStr">
        <is>
          <t>(none)</t>
        </is>
      </c>
      <c r="J3" t="inlineStr">
        <is>
          <t>(none)</t>
        </is>
      </c>
      <c r="K3" t="inlineStr">
        <is>
          <t>(none)</t>
        </is>
      </c>
      <c r="L3" t="inlineStr">
        <is>
          <t>(none)</t>
        </is>
      </c>
      <c r="M3" t="inlineStr">
        <is>
          <t>(none)</t>
        </is>
      </c>
      <c r="N3" t="inlineStr">
        <is>
          <t>(none)</t>
        </is>
      </c>
      <c r="O3" t="inlineStr">
        <is>
          <t>Accuracy +1 Attack +1</t>
        </is>
      </c>
      <c r="P3" t="inlineStr">
        <is>
          <t>STR</t>
        </is>
      </c>
    </row>
    <row r="4">
      <c r="A4" t="inlineStr">
        <is>
          <t>donar_gun</t>
        </is>
      </c>
      <c r="B4" t="inlineStr">
        <is>
          <t>amar_cluster</t>
        </is>
      </c>
      <c r="C4" t="inlineStr">
        <is>
          <t>acro_helm</t>
        </is>
      </c>
      <c r="D4" t="inlineStr">
        <is>
          <t>abnoba_kaftan</t>
        </is>
      </c>
      <c r="E4" t="inlineStr">
        <is>
          <t>acro_gauntlets</t>
        </is>
      </c>
      <c r="F4" t="inlineStr">
        <is>
          <t>abatteur_subligar</t>
        </is>
      </c>
      <c r="G4" t="inlineStr">
        <is>
          <t>acro_leggings</t>
        </is>
      </c>
      <c r="H4" t="inlineStr">
        <is>
          <t>agitators_collar</t>
        </is>
      </c>
      <c r="I4" t="inlineStr">
        <is>
          <t>acerbic_sash_+1</t>
        </is>
      </c>
      <c r="J4" t="inlineStr">
        <is>
          <t>balder_earring_+1</t>
        </is>
      </c>
      <c r="K4" t="inlineStr">
        <is>
          <t>balder_earring_+1</t>
        </is>
      </c>
      <c r="L4" t="inlineStr">
        <is>
          <t>adoulin_ring</t>
        </is>
      </c>
      <c r="M4" t="inlineStr">
        <is>
          <t>adoulin_ring</t>
        </is>
      </c>
      <c r="N4" t="inlineStr">
        <is>
          <t>annealed_mantle</t>
        </is>
      </c>
      <c r="O4" t="inlineStr">
        <is>
          <t>Accuracy +33</t>
        </is>
      </c>
      <c r="P4" t="inlineStr">
        <is>
          <t>DEX</t>
        </is>
      </c>
    </row>
    <row r="5">
      <c r="A5" t="inlineStr">
        <is>
          <t>exalted_bow</t>
        </is>
      </c>
      <c r="B5" t="inlineStr">
        <is>
          <t>aqreqaq_bomblet</t>
        </is>
      </c>
      <c r="C5" t="inlineStr">
        <is>
          <t>adhemar_bonnet</t>
        </is>
      </c>
      <c r="D5" t="inlineStr">
        <is>
          <t>acro_surcoat</t>
        </is>
      </c>
      <c r="E5" t="inlineStr">
        <is>
          <t>adhemar_wrist._+1</t>
        </is>
      </c>
      <c r="F5" t="inlineStr">
        <is>
          <t>acro_breeches</t>
        </is>
      </c>
      <c r="G5" t="inlineStr">
        <is>
          <t>adhe._gamashes_+1</t>
        </is>
      </c>
      <c r="H5" t="inlineStr">
        <is>
          <t>asperity_necklace</t>
        </is>
      </c>
      <c r="I5" t="inlineStr">
        <is>
          <t>caudata_belt</t>
        </is>
      </c>
      <c r="J5" t="inlineStr">
        <is>
          <t>bladeborn_earring</t>
        </is>
      </c>
      <c r="K5" t="inlineStr">
        <is>
          <t>bladeborn_earring</t>
        </is>
      </c>
      <c r="L5" t="inlineStr">
        <is>
          <t>adoulin_ring_+1</t>
        </is>
      </c>
      <c r="M5" t="inlineStr">
        <is>
          <t>adoulin_ring_+1</t>
        </is>
      </c>
      <c r="N5" t="inlineStr">
        <is>
          <t>attackers_mantle</t>
        </is>
      </c>
      <c r="O5" t="inlineStr">
        <is>
          <t>Accuracy+1</t>
        </is>
      </c>
      <c r="P5" t="inlineStr">
        <is>
          <t>VIT</t>
        </is>
      </c>
    </row>
    <row r="6">
      <c r="A6" t="inlineStr">
        <is>
          <t>exalted_bow_+1</t>
        </is>
      </c>
      <c r="B6" t="inlineStr">
        <is>
          <t>aurgelmir_orb_+1</t>
        </is>
      </c>
      <c r="C6" t="inlineStr">
        <is>
          <t>adhemar_bonnet_+1</t>
        </is>
      </c>
      <c r="D6" t="inlineStr">
        <is>
          <t>adhemar_jacket</t>
        </is>
      </c>
      <c r="E6" t="inlineStr">
        <is>
          <t>adhemar_wristbands</t>
        </is>
      </c>
      <c r="F6" t="inlineStr">
        <is>
          <t>adhemar_kecks</t>
        </is>
      </c>
      <c r="G6" t="inlineStr">
        <is>
          <t>adhemar_gamashes</t>
        </is>
      </c>
      <c r="H6" t="inlineStr">
        <is>
          <t>cloud_hairpin_+1</t>
        </is>
      </c>
      <c r="I6" t="inlineStr">
        <is>
          <t>cetl_belt</t>
        </is>
      </c>
      <c r="J6" t="inlineStr">
        <is>
          <t>cessance_earring</t>
        </is>
      </c>
      <c r="K6" t="inlineStr">
        <is>
          <t>cessance_earring</t>
        </is>
      </c>
      <c r="L6" t="inlineStr">
        <is>
          <t>beeline_ring</t>
        </is>
      </c>
      <c r="M6" t="inlineStr">
        <is>
          <t>beeline_ring</t>
        </is>
      </c>
      <c r="N6" t="inlineStr">
        <is>
          <t>bleating_mantle</t>
        </is>
      </c>
      <c r="O6" t="inlineStr">
        <is>
          <t>Accuracy+1 Rng.Acc.+1</t>
        </is>
      </c>
      <c r="P6" t="inlineStr">
        <is>
          <t>AGI</t>
        </is>
      </c>
    </row>
    <row r="7">
      <c r="A7" t="inlineStr">
        <is>
          <t>halakaala</t>
        </is>
      </c>
      <c r="B7" t="inlineStr">
        <is>
          <t>c._palug_stone</t>
        </is>
      </c>
      <c r="C7" t="inlineStr">
        <is>
          <t>adorned_helm</t>
        </is>
      </c>
      <c r="D7" t="inlineStr">
        <is>
          <t>adhemar_jacket_+1</t>
        </is>
      </c>
      <c r="E7" t="inlineStr">
        <is>
          <t>aeto._gloves_+1</t>
        </is>
      </c>
      <c r="F7" t="inlineStr">
        <is>
          <t>adhemar_kecks_+1</t>
        </is>
      </c>
      <c r="G7" t="inlineStr">
        <is>
          <t>aeto._ledel._+1</t>
        </is>
      </c>
      <c r="H7" t="inlineStr">
        <is>
          <t>cuamiz_collar</t>
        </is>
      </c>
      <c r="I7" t="inlineStr">
        <is>
          <t>chaac_belt</t>
        </is>
      </c>
      <c r="J7" t="inlineStr">
        <is>
          <t>dawn_earring</t>
        </is>
      </c>
      <c r="K7" t="inlineStr">
        <is>
          <t>dawn_earring</t>
        </is>
      </c>
      <c r="L7" t="inlineStr">
        <is>
          <t>beithir_ring</t>
        </is>
      </c>
      <c r="M7" t="inlineStr">
        <is>
          <t>beithir_ring</t>
        </is>
      </c>
      <c r="N7" t="inlineStr">
        <is>
          <t>buquwik_cape</t>
        </is>
      </c>
      <c r="O7" t="inlineStr">
        <is>
          <t>AGI+1</t>
        </is>
      </c>
      <c r="P7" t="inlineStr">
        <is>
          <t>INT</t>
        </is>
      </c>
    </row>
    <row r="8">
      <c r="A8" t="inlineStr">
        <is>
          <t>kaja_bow</t>
        </is>
      </c>
      <c r="B8" t="inlineStr">
        <is>
          <t>cheruski_needle</t>
        </is>
      </c>
      <c r="C8" t="inlineStr">
        <is>
          <t>adorned_helm_+1</t>
        </is>
      </c>
      <c r="D8" t="inlineStr">
        <is>
          <t>aeto._jerkin_+1</t>
        </is>
      </c>
      <c r="E8" t="inlineStr">
        <is>
          <t>aetosaur_gloves</t>
        </is>
      </c>
      <c r="F8" t="inlineStr">
        <is>
          <t>aeto._trousers</t>
        </is>
      </c>
      <c r="G8" t="inlineStr">
        <is>
          <t>aeto._ledelsens</t>
        </is>
      </c>
      <c r="H8" t="inlineStr">
        <is>
          <t>da._nodowa_+1</t>
        </is>
      </c>
      <c r="I8" t="inlineStr">
        <is>
          <t>chiners_belt_+1</t>
        </is>
      </c>
      <c r="J8" t="inlineStr">
        <is>
          <t>digni._earring</t>
        </is>
      </c>
      <c r="K8" t="inlineStr">
        <is>
          <t>digni._earring</t>
        </is>
      </c>
      <c r="L8" t="inlineStr">
        <is>
          <t>cacoethic_ring</t>
        </is>
      </c>
      <c r="M8" t="inlineStr">
        <is>
          <t>cacoethic_ring</t>
        </is>
      </c>
      <c r="N8" t="inlineStr">
        <is>
          <t>dauntless_mantle</t>
        </is>
      </c>
      <c r="O8" t="inlineStr">
        <is>
          <t>Attack +33</t>
        </is>
      </c>
      <c r="P8" t="inlineStr">
        <is>
          <t>MND</t>
        </is>
      </c>
    </row>
    <row r="9">
      <c r="A9" t="inlineStr">
        <is>
          <t>tokko_bow</t>
        </is>
      </c>
      <c r="B9" t="inlineStr">
        <is>
          <t>coiste_bodhar</t>
        </is>
      </c>
      <c r="C9" t="inlineStr">
        <is>
          <t>aetosaur_helm</t>
        </is>
      </c>
      <c r="D9" t="inlineStr">
        <is>
          <t>aetosaur_jerkin</t>
        </is>
      </c>
      <c r="E9" t="inlineStr">
        <is>
          <t>alcedo_gauntlets</t>
        </is>
      </c>
      <c r="F9" t="inlineStr">
        <is>
          <t>aeto._trousers_+1</t>
        </is>
      </c>
      <c r="G9" t="inlineStr">
        <is>
          <t>amm_greaves</t>
        </is>
      </c>
      <c r="H9" t="inlineStr">
        <is>
          <t>dakatsu_nodowa</t>
        </is>
      </c>
      <c r="I9" t="inlineStr">
        <is>
          <t>chuqaba_belt</t>
        </is>
      </c>
      <c r="J9" t="inlineStr">
        <is>
          <t>dudgeon_earring</t>
        </is>
      </c>
      <c r="K9" t="inlineStr">
        <is>
          <t>dudgeon_earring</t>
        </is>
      </c>
      <c r="L9" t="inlineStr">
        <is>
          <t>cacoethic_ring_+1</t>
        </is>
      </c>
      <c r="M9" t="inlineStr">
        <is>
          <t>cacoethic_ring_+1</t>
        </is>
      </c>
      <c r="N9" t="inlineStr">
        <is>
          <t>feline_mantle</t>
        </is>
      </c>
      <c r="O9" t="inlineStr">
        <is>
          <t>Attack+1</t>
        </is>
      </c>
      <c r="P9" t="inlineStr">
        <is>
          <t>CHR</t>
        </is>
      </c>
    </row>
    <row r="10">
      <c r="A10" t="inlineStr">
        <is>
          <t>ullr</t>
        </is>
      </c>
      <c r="B10" t="inlineStr">
        <is>
          <t>crepuscular_pebble</t>
        </is>
      </c>
      <c r="C10" t="inlineStr">
        <is>
          <t>aetosaur_helm_+1</t>
        </is>
      </c>
      <c r="D10" t="inlineStr">
        <is>
          <t>agony_jerkin_+1</t>
        </is>
      </c>
      <c r="E10" t="inlineStr">
        <is>
          <t>ares_gauntlets_+1</t>
        </is>
      </c>
      <c r="F10" t="inlineStr">
        <is>
          <t>alcedo_cuisses</t>
        </is>
      </c>
      <c r="G10" t="inlineStr">
        <is>
          <t>ar._gambieras_+1</t>
        </is>
      </c>
      <c r="H10" t="inlineStr">
        <is>
          <t>defiant_collar</t>
        </is>
      </c>
      <c r="I10" t="inlineStr">
        <is>
          <t>dynamic_belt</t>
        </is>
      </c>
      <c r="J10" t="inlineStr">
        <is>
          <t>eabani_earring</t>
        </is>
      </c>
      <c r="K10" t="inlineStr">
        <is>
          <t>eabani_earring</t>
        </is>
      </c>
      <c r="L10" t="inlineStr">
        <is>
          <t>candent_ring</t>
        </is>
      </c>
      <c r="M10" t="inlineStr">
        <is>
          <t>candent_ring</t>
        </is>
      </c>
      <c r="N10" t="inlineStr">
        <is>
          <t>impassive_mantle</t>
        </is>
      </c>
      <c r="O10" t="inlineStr">
        <is>
          <t>Attack+1 Rng.Atk.+1</t>
        </is>
      </c>
      <c r="P10" t="inlineStr">
        <is>
          <t>ATT</t>
        </is>
      </c>
    </row>
    <row r="11">
      <c r="A11" t="inlineStr">
        <is>
          <t>wingcutter_+1</t>
        </is>
      </c>
      <c r="B11" t="inlineStr">
        <is>
          <t>expeditious_pinion</t>
        </is>
      </c>
      <c r="C11" t="inlineStr">
        <is>
          <t>alhazen_hat_+1</t>
        </is>
      </c>
      <c r="D11" t="inlineStr">
        <is>
          <t>ares_cuirass_+1</t>
        </is>
      </c>
      <c r="E11" t="inlineStr">
        <is>
          <t>boor_bracelets</t>
        </is>
      </c>
      <c r="F11" t="inlineStr">
        <is>
          <t>ares_flanchard_+1</t>
        </is>
      </c>
      <c r="G11" t="inlineStr">
        <is>
          <t>ares_sollerets_+1</t>
        </is>
      </c>
      <c r="H11" t="inlineStr">
        <is>
          <t>deviant_necklace</t>
        </is>
      </c>
      <c r="I11" t="inlineStr">
        <is>
          <t>dynamic_belt_+1</t>
        </is>
      </c>
      <c r="J11" t="inlineStr">
        <is>
          <t>enervating_earring</t>
        </is>
      </c>
      <c r="K11" t="inlineStr">
        <is>
          <t>enervating_earring</t>
        </is>
      </c>
      <c r="L11" t="inlineStr">
        <is>
          <t>chirich_ring</t>
        </is>
      </c>
      <c r="M11" t="inlineStr">
        <is>
          <t>chirich_ring</t>
        </is>
      </c>
      <c r="N11" t="inlineStr">
        <is>
          <t>kayapa_cape</t>
        </is>
      </c>
      <c r="O11" t="inlineStr">
        <is>
          <t>CHR+1</t>
        </is>
      </c>
      <c r="P11" t="inlineStr">
        <is>
          <t>ATTP</t>
        </is>
      </c>
    </row>
    <row r="12">
      <c r="B12" t="inlineStr">
        <is>
          <t>floestone</t>
        </is>
      </c>
      <c r="C12" t="inlineStr">
        <is>
          <t>amin_turban</t>
        </is>
      </c>
      <c r="D12" t="inlineStr">
        <is>
          <t>ashera_harness</t>
        </is>
      </c>
      <c r="E12" t="inlineStr">
        <is>
          <t>buremte_gloves</t>
        </is>
      </c>
      <c r="F12" t="inlineStr">
        <is>
          <t>arke_cosc._+1</t>
        </is>
      </c>
      <c r="G12" t="inlineStr">
        <is>
          <t>cab._leggings</t>
        </is>
      </c>
      <c r="H12" t="inlineStr">
        <is>
          <t>ej_necklace</t>
        </is>
      </c>
      <c r="I12" t="inlineStr">
        <is>
          <t>engraved_belt</t>
        </is>
      </c>
      <c r="J12" t="inlineStr">
        <is>
          <t>evader_earring</t>
        </is>
      </c>
      <c r="K12" t="inlineStr">
        <is>
          <t>evader_earring</t>
        </is>
      </c>
      <c r="L12" t="inlineStr">
        <is>
          <t>chirich_ring_+1</t>
        </is>
      </c>
      <c r="M12" t="inlineStr">
        <is>
          <t>chirich_ring_+1</t>
        </is>
      </c>
      <c r="N12" t="inlineStr">
        <is>
          <t>laic_mantle</t>
        </is>
      </c>
      <c r="O12" t="inlineStr">
        <is>
          <t>Crit. hit damage+1%</t>
        </is>
      </c>
      <c r="P12" t="inlineStr">
        <is>
          <t>ACC</t>
        </is>
      </c>
    </row>
    <row r="13">
      <c r="B13" t="inlineStr">
        <is>
          <t>focal_orb</t>
        </is>
      </c>
      <c r="C13" t="inlineStr">
        <is>
          <t>ares_mask_+1</t>
        </is>
      </c>
      <c r="D13" t="inlineStr">
        <is>
          <t>asura_samue</t>
        </is>
      </c>
      <c r="E13" t="inlineStr">
        <is>
          <t>cab._gauntlets</t>
        </is>
      </c>
      <c r="F13" t="inlineStr">
        <is>
          <t>augury_cuisses_+1</t>
        </is>
      </c>
      <c r="G13" t="inlineStr">
        <is>
          <t>cab._leggings_+1</t>
        </is>
      </c>
      <c r="H13" t="inlineStr">
        <is>
          <t>ej_necklace_+1</t>
        </is>
      </c>
      <c r="I13" t="inlineStr">
        <is>
          <t>eschan_stone</t>
        </is>
      </c>
      <c r="J13" t="inlineStr">
        <is>
          <t>evader_earring_+1</t>
        </is>
      </c>
      <c r="K13" t="inlineStr">
        <is>
          <t>evader_earring_+1</t>
        </is>
      </c>
      <c r="L13" t="inlineStr">
        <is>
          <t>choj_band</t>
        </is>
      </c>
      <c r="M13" t="inlineStr">
        <is>
          <t>choj_band</t>
        </is>
      </c>
      <c r="N13" t="inlineStr">
        <is>
          <t>letalis_mantle</t>
        </is>
      </c>
      <c r="O13" t="inlineStr">
        <is>
          <t>Crit.hit rate+1%</t>
        </is>
      </c>
      <c r="P13" t="inlineStr">
        <is>
          <t>CRITHITRATE</t>
        </is>
      </c>
    </row>
    <row r="14">
      <c r="B14" t="inlineStr">
        <is>
          <t>ginsen</t>
        </is>
      </c>
      <c r="C14" t="inlineStr">
        <is>
          <t>arke_zuchetto</t>
        </is>
      </c>
      <c r="D14" t="inlineStr">
        <is>
          <t>asura_samue_+1</t>
        </is>
      </c>
      <c r="E14" t="inlineStr">
        <is>
          <t>cab._gauntlets_+1</t>
        </is>
      </c>
      <c r="F14" t="inlineStr">
        <is>
          <t>brontes_cuisses</t>
        </is>
      </c>
      <c r="G14" t="inlineStr">
        <is>
          <t>cab._leggings_+2</t>
        </is>
      </c>
      <c r="H14" t="inlineStr">
        <is>
          <t>ensnaring_torque</t>
        </is>
      </c>
      <c r="I14" t="inlineStr">
        <is>
          <t>famine_sash</t>
        </is>
      </c>
      <c r="J14" t="inlineStr">
        <is>
          <t>ghillie_earring</t>
        </is>
      </c>
      <c r="K14" t="inlineStr">
        <is>
          <t>ghillie_earring</t>
        </is>
      </c>
      <c r="L14" t="inlineStr">
        <is>
          <t>dagaz_ring</t>
        </is>
      </c>
      <c r="M14" t="inlineStr">
        <is>
          <t>dagaz_ring</t>
        </is>
      </c>
      <c r="N14" t="inlineStr">
        <is>
          <t>lupine_cape</t>
        </is>
      </c>
      <c r="O14" t="inlineStr">
        <is>
          <t>Dbl.Atk.+1%</t>
        </is>
      </c>
      <c r="P14" t="inlineStr">
        <is>
          <t>CRIT_DMG_INCREASE</t>
        </is>
      </c>
    </row>
    <row r="15">
      <c r="B15" t="inlineStr">
        <is>
          <t>grenade_core</t>
        </is>
      </c>
      <c r="C15" t="inlineStr">
        <is>
          <t>arke_zuchetto_+1</t>
        </is>
      </c>
      <c r="D15" t="inlineStr">
        <is>
          <t>athoss_tabard</t>
        </is>
      </c>
      <c r="E15" t="inlineStr">
        <is>
          <t>cab._gauntlets_+2</t>
        </is>
      </c>
      <c r="F15" t="inlineStr">
        <is>
          <t>cab._breeches</t>
        </is>
      </c>
      <c r="G15" t="inlineStr">
        <is>
          <t>cab._leggings_+3</t>
        </is>
      </c>
      <c r="H15" t="inlineStr">
        <is>
          <t>gaudryi_necklace</t>
        </is>
      </c>
      <c r="I15" t="inlineStr">
        <is>
          <t>gerdr_belt_+1</t>
        </is>
      </c>
      <c r="J15" t="inlineStr">
        <is>
          <t>ghillie_earring_+1</t>
        </is>
      </c>
      <c r="K15" t="inlineStr">
        <is>
          <t>ghillie_earring_+1</t>
        </is>
      </c>
      <c r="L15" t="inlineStr">
        <is>
          <t>dhanurveda_ring</t>
        </is>
      </c>
      <c r="M15" t="inlineStr">
        <is>
          <t>dhanurveda_ring</t>
        </is>
      </c>
      <c r="N15" t="inlineStr">
        <is>
          <t>meanagh_cape_+1</t>
        </is>
      </c>
      <c r="O15" t="inlineStr">
        <is>
          <t>Dbl.Atk.+1% Crit.hit rate+1%</t>
        </is>
      </c>
      <c r="P15" t="inlineStr">
        <is>
          <t>DOUBLE_ATTACK</t>
        </is>
      </c>
    </row>
    <row r="16">
      <c r="B16" t="inlineStr">
        <is>
          <t>happo_shuriken</t>
        </is>
      </c>
      <c r="C16" t="inlineStr">
        <is>
          <t>baghere_salade</t>
        </is>
      </c>
      <c r="D16" t="inlineStr">
        <is>
          <t>beguilers_jerkin</t>
        </is>
      </c>
      <c r="E16" t="inlineStr">
        <is>
          <t>cab._gauntlets_+3</t>
        </is>
      </c>
      <c r="F16" t="inlineStr">
        <is>
          <t>cab._breeches_+1</t>
        </is>
      </c>
      <c r="G16" t="inlineStr">
        <is>
          <t>carmine_greaves</t>
        </is>
      </c>
      <c r="H16" t="inlineStr">
        <is>
          <t>hamrammr_torque</t>
        </is>
      </c>
      <c r="I16" t="inlineStr">
        <is>
          <t>gevaudan_belt</t>
        </is>
      </c>
      <c r="J16" t="inlineStr">
        <is>
          <t>grit_earring</t>
        </is>
      </c>
      <c r="K16" t="inlineStr">
        <is>
          <t>grit_earring</t>
        </is>
      </c>
      <c r="L16" t="inlineStr">
        <is>
          <t>dumakulems_ring</t>
        </is>
      </c>
      <c r="M16" t="inlineStr">
        <is>
          <t>dumakulems_ring</t>
        </is>
      </c>
      <c r="N16" t="inlineStr">
        <is>
          <t>moondoe_mantle_+1</t>
        </is>
      </c>
      <c r="O16" t="inlineStr">
        <is>
          <t>DEX+1</t>
        </is>
      </c>
      <c r="P16" t="inlineStr">
        <is>
          <t>TRIPLE_ATTACK</t>
        </is>
      </c>
    </row>
    <row r="17">
      <c r="B17" t="inlineStr">
        <is>
          <t>happo_shuriken_+1</t>
        </is>
      </c>
      <c r="C17" t="inlineStr">
        <is>
          <t>bendiss_hairpin</t>
        </is>
      </c>
      <c r="D17" t="inlineStr">
        <is>
          <t>cab._surcoat</t>
        </is>
      </c>
      <c r="E17" t="inlineStr">
        <is>
          <t>carmine_fin._ga.</t>
        </is>
      </c>
      <c r="F17" t="inlineStr">
        <is>
          <t>cab._breeches_+2</t>
        </is>
      </c>
      <c r="G17" t="inlineStr">
        <is>
          <t>carmine_greaves_+1</t>
        </is>
      </c>
      <c r="H17" t="inlineStr">
        <is>
          <t>iqabi_necklace</t>
        </is>
      </c>
      <c r="I17" t="inlineStr">
        <is>
          <t>grunfeld_rope</t>
        </is>
      </c>
      <c r="J17" t="inlineStr">
        <is>
          <t>heartseeker_earring</t>
        </is>
      </c>
      <c r="K17" t="inlineStr">
        <is>
          <t>heartseeker_earring</t>
        </is>
      </c>
      <c r="L17" t="inlineStr">
        <is>
          <t>enlivened_ring</t>
        </is>
      </c>
      <c r="M17" t="inlineStr">
        <is>
          <t>enlivened_ring</t>
        </is>
      </c>
      <c r="N17" t="inlineStr">
        <is>
          <t>phalangite_mantle</t>
        </is>
      </c>
      <c r="O17" t="inlineStr">
        <is>
          <t>DEX+1 AGI+1</t>
        </is>
      </c>
      <c r="P17" t="inlineStr">
        <is>
          <t>QUAD_ATTACK</t>
        </is>
      </c>
    </row>
    <row r="18">
      <c r="B18" t="inlineStr">
        <is>
          <t>jukukik_feather</t>
        </is>
      </c>
      <c r="C18" t="inlineStr">
        <is>
          <t>blistering_sallet_+1</t>
        </is>
      </c>
      <c r="D18" t="inlineStr">
        <is>
          <t>cab._surcoat_+1</t>
        </is>
      </c>
      <c r="E18" t="inlineStr">
        <is>
          <t>carmine_fin._ga._+1</t>
        </is>
      </c>
      <c r="F18" t="inlineStr">
        <is>
          <t>cab._breeches_+3</t>
        </is>
      </c>
      <c r="G18" t="inlineStr">
        <is>
          <t>chev._sabatons</t>
        </is>
      </c>
      <c r="H18" t="inlineStr">
        <is>
          <t>ishtars_collar</t>
        </is>
      </c>
      <c r="I18" t="inlineStr">
        <is>
          <t>hurchlan_sash</t>
        </is>
      </c>
      <c r="J18" t="inlineStr">
        <is>
          <t>ishvara_earring</t>
        </is>
      </c>
      <c r="K18" t="inlineStr">
        <is>
          <t>ishvara_earring</t>
        </is>
      </c>
      <c r="L18" t="inlineStr">
        <is>
          <t>epaminondass_ring</t>
        </is>
      </c>
      <c r="M18" t="inlineStr">
        <is>
          <t>epaminondass_ring</t>
        </is>
      </c>
      <c r="N18" t="inlineStr">
        <is>
          <t>radical_mantle</t>
        </is>
      </c>
      <c r="O18" t="inlineStr">
        <is>
          <t>Dual Wield+1</t>
        </is>
      </c>
      <c r="P18" t="inlineStr">
        <is>
          <t>HASTE_GEAR</t>
        </is>
      </c>
    </row>
    <row r="19">
      <c r="B19" t="inlineStr">
        <is>
          <t>paeapua</t>
        </is>
      </c>
      <c r="C19" t="inlineStr">
        <is>
          <t>cab._coronet</t>
        </is>
      </c>
      <c r="D19" t="inlineStr">
        <is>
          <t>cab._surcoat_+2</t>
        </is>
      </c>
      <c r="E19" t="inlineStr">
        <is>
          <t>chev._gauntlets</t>
        </is>
      </c>
      <c r="F19" t="inlineStr">
        <is>
          <t>carmine_cuisses</t>
        </is>
      </c>
      <c r="G19" t="inlineStr">
        <is>
          <t>chev._sabatons_+1</t>
        </is>
      </c>
      <c r="H19" t="inlineStr">
        <is>
          <t>iskur_gorget</t>
        </is>
      </c>
      <c r="I19" t="inlineStr">
        <is>
          <t>istio_belt</t>
        </is>
      </c>
      <c r="J19" t="inlineStr">
        <is>
          <t>kokous_earring</t>
        </is>
      </c>
      <c r="K19" t="inlineStr">
        <is>
          <t>kokous_earring</t>
        </is>
      </c>
      <c r="L19" t="inlineStr">
        <is>
          <t>folhardi_ring</t>
        </is>
      </c>
      <c r="M19" t="inlineStr">
        <is>
          <t>folhardi_ring</t>
        </is>
      </c>
      <c r="N19" t="inlineStr">
        <is>
          <t>radical_mantle_+1</t>
        </is>
      </c>
      <c r="O19" t="inlineStr">
        <is>
          <t>Haste+1</t>
        </is>
      </c>
      <c r="P19" t="inlineStr">
        <is>
          <t>HASTE_MAGIC</t>
        </is>
      </c>
    </row>
    <row r="20">
      <c r="B20" t="inlineStr">
        <is>
          <t>seeth._bomblet_+1</t>
        </is>
      </c>
      <c r="C20" t="inlineStr">
        <is>
          <t>cab._coronet_+1</t>
        </is>
      </c>
      <c r="D20" t="inlineStr">
        <is>
          <t>cab._surcoat_+3</t>
        </is>
      </c>
      <c r="E20" t="inlineStr">
        <is>
          <t>chev._gauntlets_+1</t>
        </is>
      </c>
      <c r="F20" t="inlineStr">
        <is>
          <t>carmine_cuisses_+1</t>
        </is>
      </c>
      <c r="G20" t="inlineStr">
        <is>
          <t>chevaliers_sabatons_+2</t>
        </is>
      </c>
      <c r="H20" t="inlineStr">
        <is>
          <t>lacono_neck._+1</t>
        </is>
      </c>
      <c r="I20" t="inlineStr">
        <is>
          <t>kasiri_belt</t>
        </is>
      </c>
      <c r="J20" t="inlineStr">
        <is>
          <t>kuwunga_earring</t>
        </is>
      </c>
      <c r="K20" t="inlineStr">
        <is>
          <t>kuwunga_earring</t>
        </is>
      </c>
      <c r="L20" t="inlineStr">
        <is>
          <t>fortified_ring</t>
        </is>
      </c>
      <c r="M20" t="inlineStr">
        <is>
          <t>fortified_ring</t>
        </is>
      </c>
      <c r="N20" t="inlineStr">
        <is>
          <t>testudo_mantle</t>
        </is>
      </c>
      <c r="O20" t="inlineStr">
        <is>
          <t>INT+1</t>
        </is>
      </c>
      <c r="P20" t="inlineStr">
        <is>
          <t>HASTE_ABILITY</t>
        </is>
      </c>
    </row>
    <row r="21">
      <c r="B21" t="inlineStr">
        <is>
          <t>seething_bomblet</t>
        </is>
      </c>
      <c r="C21" t="inlineStr">
        <is>
          <t>cab._coronet_+2</t>
        </is>
      </c>
      <c r="D21" t="inlineStr">
        <is>
          <t>carm._sc._mail_+1</t>
        </is>
      </c>
      <c r="E21" t="inlineStr">
        <is>
          <t>chevaliers_gauntlets_+2</t>
        </is>
      </c>
      <c r="F21" t="inlineStr">
        <is>
          <t>chev._cuisses_+1</t>
        </is>
      </c>
      <c r="G21" t="inlineStr">
        <is>
          <t>chevaliers_sabatons_+3</t>
        </is>
      </c>
      <c r="H21" t="inlineStr">
        <is>
          <t>lissome_necklace</t>
        </is>
      </c>
      <c r="I21" t="inlineStr">
        <is>
          <t>kentarch_belt</t>
        </is>
      </c>
      <c r="J21" t="inlineStr">
        <is>
          <t>mache_earring</t>
        </is>
      </c>
      <c r="K21" t="inlineStr">
        <is>
          <t>mache_earring</t>
        </is>
      </c>
      <c r="L21" t="inlineStr">
        <is>
          <t>gere_ring</t>
        </is>
      </c>
      <c r="M21" t="inlineStr">
        <is>
          <t>gere_ring</t>
        </is>
      </c>
      <c r="N21" t="inlineStr">
        <is>
          <t>testudo_mantle_+1</t>
        </is>
      </c>
      <c r="O21" t="inlineStr">
        <is>
          <t>INT+1 MND+1</t>
        </is>
      </c>
      <c r="P21" t="inlineStr">
        <is>
          <t>DUAL_WIELD</t>
        </is>
      </c>
    </row>
    <row r="22">
      <c r="B22" t="inlineStr">
        <is>
          <t>seki_shuriken</t>
        </is>
      </c>
      <c r="C22" t="inlineStr">
        <is>
          <t>cab._coronet_+3</t>
        </is>
      </c>
      <c r="D22" t="inlineStr">
        <is>
          <t>carm._scale_mail</t>
        </is>
      </c>
      <c r="E22" t="inlineStr">
        <is>
          <t>chevaliers_gauntlets_+3</t>
        </is>
      </c>
      <c r="F22" t="inlineStr">
        <is>
          <t>chevaliers_cuisses</t>
        </is>
      </c>
      <c r="G22" t="inlineStr">
        <is>
          <t>chocaliztli_boots</t>
        </is>
      </c>
      <c r="H22" t="inlineStr">
        <is>
          <t>moonlight_nodowa</t>
        </is>
      </c>
      <c r="I22" t="inlineStr">
        <is>
          <t>kentarch_belt_+1</t>
        </is>
      </c>
      <c r="J22" t="inlineStr">
        <is>
          <t>mache_earring_+1</t>
        </is>
      </c>
      <c r="K22" t="inlineStr">
        <is>
          <t>mache_earring_+1</t>
        </is>
      </c>
      <c r="L22" t="inlineStr">
        <is>
          <t>hajduk_ring</t>
        </is>
      </c>
      <c r="M22" t="inlineStr">
        <is>
          <t>hajduk_ring</t>
        </is>
      </c>
      <c r="N22" t="inlineStr">
        <is>
          <t>vell._mantle_+1</t>
        </is>
      </c>
      <c r="O22" t="inlineStr">
        <is>
          <t>INT+1 MND+1 CHR+1</t>
        </is>
      </c>
      <c r="P22" t="inlineStr">
        <is>
          <t>STORETP</t>
        </is>
      </c>
    </row>
    <row r="23">
      <c r="B23" t="inlineStr">
        <is>
          <t>vanir_battery</t>
        </is>
      </c>
      <c r="C23" t="inlineStr">
        <is>
          <t>canutes_helm</t>
        </is>
      </c>
      <c r="D23" t="inlineStr">
        <is>
          <t>chev._cuirass</t>
        </is>
      </c>
      <c r="E23" t="inlineStr">
        <is>
          <t>cizin_mufflers</t>
        </is>
      </c>
      <c r="F23" t="inlineStr">
        <is>
          <t>chevaliers_cuisses_+2</t>
        </is>
      </c>
      <c r="G23" t="inlineStr">
        <is>
          <t>cizin_greaves</t>
        </is>
      </c>
      <c r="H23" t="inlineStr">
        <is>
          <t>nefarious_collar</t>
        </is>
      </c>
      <c r="I23" t="inlineStr">
        <is>
          <t>latria_sash</t>
        </is>
      </c>
      <c r="J23" t="inlineStr">
        <is>
          <t>matanki_earring</t>
        </is>
      </c>
      <c r="K23" t="inlineStr">
        <is>
          <t>matanki_earring</t>
        </is>
      </c>
      <c r="L23" t="inlineStr">
        <is>
          <t>hajduk_ring_+1</t>
        </is>
      </c>
      <c r="M23" t="inlineStr">
        <is>
          <t>hajduk_ring_+1</t>
        </is>
      </c>
      <c r="N23" t="inlineStr">
        <is>
          <t>vespid_mantle</t>
        </is>
      </c>
      <c r="O23" t="inlineStr">
        <is>
          <t>MND+1</t>
        </is>
      </c>
      <c r="P23" t="inlineStr">
        <is>
          <t>TP_BONUS</t>
        </is>
      </c>
    </row>
    <row r="24">
      <c r="B24" t="inlineStr">
        <is>
          <t>yamarang</t>
        </is>
      </c>
      <c r="C24" t="inlineStr">
        <is>
          <t>carmine_mask</t>
        </is>
      </c>
      <c r="D24" t="inlineStr">
        <is>
          <t>chev._cuirass_+1</t>
        </is>
      </c>
      <c r="E24" t="inlineStr">
        <is>
          <t>cizin_mufflers_+1</t>
        </is>
      </c>
      <c r="F24" t="inlineStr">
        <is>
          <t>chevaliers_cuisses_+3</t>
        </is>
      </c>
      <c r="G24" t="inlineStr">
        <is>
          <t>cizin_greaves_+1</t>
        </is>
      </c>
      <c r="H24" t="inlineStr">
        <is>
          <t>nefarious_collar_+1</t>
        </is>
      </c>
      <c r="I24" t="inlineStr">
        <is>
          <t>metalsinger_belt</t>
        </is>
      </c>
      <c r="J24" t="inlineStr">
        <is>
          <t>neritic_earring</t>
        </is>
      </c>
      <c r="K24" t="inlineStr">
        <is>
          <t>neritic_earring</t>
        </is>
      </c>
      <c r="L24" t="inlineStr">
        <is>
          <t>haverton_ring</t>
        </is>
      </c>
      <c r="M24" t="inlineStr">
        <is>
          <t>haverton_ring</t>
        </is>
      </c>
      <c r="N24" t="inlineStr">
        <is>
          <t>weard_mantle</t>
        </is>
      </c>
      <c r="O24" t="inlineStr">
        <is>
          <t>MND+1 CHR+1</t>
        </is>
      </c>
      <c r="P24" t="inlineStr">
        <is>
          <t>ALL_WSDMG_ALL_HITS</t>
        </is>
      </c>
    </row>
    <row r="25">
      <c r="B25" t="inlineStr">
        <is>
          <t>yetshila</t>
        </is>
      </c>
      <c r="C25" t="inlineStr">
        <is>
          <t>carmine_mask_+1</t>
        </is>
      </c>
      <c r="D25" t="inlineStr">
        <is>
          <t>chevaliers_cuirass_+2</t>
        </is>
      </c>
      <c r="E25" t="inlineStr">
        <is>
          <t>counts_cuffs</t>
        </is>
      </c>
      <c r="F25" t="inlineStr">
        <is>
          <t>cizin_breeches</t>
        </is>
      </c>
      <c r="G25" t="inlineStr">
        <is>
          <t>daihanshi_habaki</t>
        </is>
      </c>
      <c r="H25" t="inlineStr">
        <is>
          <t>ninja_nodowa</t>
        </is>
      </c>
      <c r="I25" t="inlineStr">
        <is>
          <t>olseni_belt</t>
        </is>
      </c>
      <c r="J25" t="inlineStr">
        <is>
          <t>odnowa_earring_+1</t>
        </is>
      </c>
      <c r="K25" t="inlineStr">
        <is>
          <t>odnowa_earring_+1</t>
        </is>
      </c>
      <c r="L25" t="inlineStr">
        <is>
          <t>haverton_ring_+1</t>
        </is>
      </c>
      <c r="M25" t="inlineStr">
        <is>
          <t>haverton_ring_+1</t>
        </is>
      </c>
      <c r="N25" t="inlineStr">
        <is>
          <t>yokaze_mantle</t>
        </is>
      </c>
      <c r="O25" t="inlineStr">
        <is>
          <t>Quadruple Attack+1%</t>
        </is>
      </c>
      <c r="P25" t="inlineStr">
        <is>
          <t>ALL_WSDMG_FIRST_HIT</t>
        </is>
      </c>
    </row>
    <row r="26">
      <c r="B26" t="inlineStr">
        <is>
          <t>yetshila_+1</t>
        </is>
      </c>
      <c r="C26" t="inlineStr">
        <is>
          <t>chersos_helm_+1</t>
        </is>
      </c>
      <c r="D26" t="inlineStr">
        <is>
          <t>chevaliers_cuirass_+3</t>
        </is>
      </c>
      <c r="E26" t="inlineStr">
        <is>
          <t>crusher_gauntlets</t>
        </is>
      </c>
      <c r="F26" t="inlineStr">
        <is>
          <t>cizin_breeches_+1</t>
        </is>
      </c>
      <c r="G26" t="inlineStr">
        <is>
          <t>diama._sollerets</t>
        </is>
      </c>
      <c r="H26" t="inlineStr">
        <is>
          <t>ninja_nodowa_+1</t>
        </is>
      </c>
      <c r="I26" t="inlineStr">
        <is>
          <t>panthalassa_sash</t>
        </is>
      </c>
      <c r="J26" t="inlineStr">
        <is>
          <t>odr_earring</t>
        </is>
      </c>
      <c r="K26" t="inlineStr">
        <is>
          <t>odr_earring</t>
        </is>
      </c>
      <c r="L26" t="inlineStr">
        <is>
          <t>hetairoi_ring</t>
        </is>
      </c>
      <c r="M26" t="inlineStr">
        <is>
          <t>hetairoi_ring</t>
        </is>
      </c>
      <c r="O26" t="inlineStr">
        <is>
          <t>Slow+1</t>
        </is>
      </c>
      <c r="P26" t="inlineStr">
        <is>
          <t>ANY_FTP_BONUS</t>
        </is>
      </c>
    </row>
    <row r="27">
      <c r="C27" t="inlineStr">
        <is>
          <t>chev._armet_+1</t>
        </is>
      </c>
      <c r="D27" t="inlineStr">
        <is>
          <t>chozor._coselete</t>
        </is>
      </c>
      <c r="E27" t="inlineStr">
        <is>
          <t>dux_fng._gnt.</t>
        </is>
      </c>
      <c r="F27" t="inlineStr">
        <is>
          <t>dashing_subligar</t>
        </is>
      </c>
      <c r="G27" t="inlineStr">
        <is>
          <t>durgai_leggings</t>
        </is>
      </c>
      <c r="H27" t="inlineStr">
        <is>
          <t>ninja_nodowa_+2</t>
        </is>
      </c>
      <c r="I27" t="inlineStr">
        <is>
          <t>patentia_sash</t>
        </is>
      </c>
      <c r="J27" t="inlineStr">
        <is>
          <t>steelflash_earring</t>
        </is>
      </c>
      <c r="K27" t="inlineStr">
        <is>
          <t>steelflash_earring</t>
        </is>
      </c>
      <c r="L27" t="inlineStr">
        <is>
          <t>ifrit_ring</t>
        </is>
      </c>
      <c r="M27" t="inlineStr">
        <is>
          <t>ifrit_ring</t>
        </is>
      </c>
      <c r="O27" t="inlineStr">
        <is>
          <t>Store TP+1</t>
        </is>
      </c>
      <c r="P27" t="inlineStr">
        <is>
          <t>WSACC</t>
        </is>
      </c>
    </row>
    <row r="28">
      <c r="C28" t="inlineStr">
        <is>
          <t>chevaliers_armet</t>
        </is>
      </c>
      <c r="D28" t="inlineStr">
        <is>
          <t>cizin_mail</t>
        </is>
      </c>
      <c r="E28" t="inlineStr">
        <is>
          <t>dux_fng._gnt._+1</t>
        </is>
      </c>
      <c r="F28" t="inlineStr">
        <is>
          <t>dux_cuisses</t>
        </is>
      </c>
      <c r="G28" t="inlineStr">
        <is>
          <t>dux_greaves</t>
        </is>
      </c>
      <c r="H28" t="inlineStr">
        <is>
          <t>ocachi_gorget</t>
        </is>
      </c>
      <c r="I28" t="inlineStr">
        <is>
          <t>phos_belt</t>
        </is>
      </c>
      <c r="J28" t="inlineStr">
        <is>
          <t>tati_earring</t>
        </is>
      </c>
      <c r="K28" t="inlineStr">
        <is>
          <t>tati_earring</t>
        </is>
      </c>
      <c r="L28" t="inlineStr">
        <is>
          <t>ifrit_ring_+1</t>
        </is>
      </c>
      <c r="M28" t="inlineStr">
        <is>
          <t>ifrit_ring_+1</t>
        </is>
      </c>
      <c r="O28" t="inlineStr">
        <is>
          <t>Store TP+1 Subtle Blow+1</t>
        </is>
      </c>
    </row>
    <row r="29">
      <c r="C29" t="inlineStr">
        <is>
          <t>chevaliers_armet_+2</t>
        </is>
      </c>
      <c r="D29" t="inlineStr">
        <is>
          <t>cizin_mail_+1</t>
        </is>
      </c>
      <c r="E29" t="inlineStr">
        <is>
          <t>el_bracers_+1</t>
        </is>
      </c>
      <c r="F29" t="inlineStr">
        <is>
          <t>dux_cuisses_+1</t>
        </is>
      </c>
      <c r="G29" t="inlineStr">
        <is>
          <t>dux_greaves_+1</t>
        </is>
      </c>
      <c r="H29" t="inlineStr">
        <is>
          <t>rep._plat._medal</t>
        </is>
      </c>
      <c r="I29" t="inlineStr">
        <is>
          <t>phos_belt_+1</t>
        </is>
      </c>
      <c r="J29" t="inlineStr">
        <is>
          <t>tati_earring_+1</t>
        </is>
      </c>
      <c r="K29" t="inlineStr">
        <is>
          <t>tati_earring_+1</t>
        </is>
      </c>
      <c r="L29" t="inlineStr">
        <is>
          <t>ilabrat_ring</t>
        </is>
      </c>
      <c r="M29" t="inlineStr">
        <is>
          <t>ilabrat_ring</t>
        </is>
      </c>
      <c r="O29" t="inlineStr">
        <is>
          <t>STR+1</t>
        </is>
      </c>
    </row>
    <row r="30">
      <c r="C30" t="inlineStr">
        <is>
          <t>chevaliers_armet_+3</t>
        </is>
      </c>
      <c r="D30" t="inlineStr">
        <is>
          <t>crepuscular_mail</t>
        </is>
      </c>
      <c r="E30" t="inlineStr">
        <is>
          <t>emi._gauntlets_+1</t>
        </is>
      </c>
      <c r="F30" t="inlineStr">
        <is>
          <t>emicho_hose</t>
        </is>
      </c>
      <c r="G30" t="inlineStr">
        <is>
          <t>ejekamal_boots</t>
        </is>
      </c>
      <c r="H30" t="inlineStr">
        <is>
          <t>rioters_collar</t>
        </is>
      </c>
      <c r="I30" t="inlineStr">
        <is>
          <t>prosilio_belt_+1</t>
        </is>
      </c>
      <c r="J30" t="inlineStr">
        <is>
          <t>thrud_earring</t>
        </is>
      </c>
      <c r="K30" t="inlineStr">
        <is>
          <t>thrud_earring</t>
        </is>
      </c>
      <c r="L30" t="inlineStr">
        <is>
          <t>karieyh_ring</t>
        </is>
      </c>
      <c r="M30" t="inlineStr">
        <is>
          <t>karieyh_ring</t>
        </is>
      </c>
      <c r="O30" t="inlineStr">
        <is>
          <t>STR+1 AGI+1</t>
        </is>
      </c>
    </row>
    <row r="31">
      <c r="C31" t="inlineStr">
        <is>
          <t>chocaliztli_mask</t>
        </is>
      </c>
      <c r="D31" t="inlineStr">
        <is>
          <t>dagon_breast.</t>
        </is>
      </c>
      <c r="E31" t="inlineStr">
        <is>
          <t>emicho_gauntlets</t>
        </is>
      </c>
      <c r="F31" t="inlineStr">
        <is>
          <t>emicho_hose_+1</t>
        </is>
      </c>
      <c r="G31" t="inlineStr">
        <is>
          <t>emi._gambieras_+1</t>
        </is>
      </c>
      <c r="H31" t="inlineStr">
        <is>
          <t>sanctity_necklace</t>
        </is>
      </c>
      <c r="I31" t="inlineStr">
        <is>
          <t>pyaekue_belt</t>
        </is>
      </c>
      <c r="J31" t="inlineStr">
        <is>
          <t>tripudio_earring</t>
        </is>
      </c>
      <c r="K31" t="inlineStr">
        <is>
          <t>tripudio_earring</t>
        </is>
      </c>
      <c r="L31" t="inlineStr">
        <is>
          <t>karieyh_ring_+1</t>
        </is>
      </c>
      <c r="M31" t="inlineStr">
        <is>
          <t>karieyh_ring_+1</t>
        </is>
      </c>
      <c r="O31" t="inlineStr">
        <is>
          <t>STR+1 CHR+1</t>
        </is>
      </c>
    </row>
    <row r="32">
      <c r="C32" t="inlineStr">
        <is>
          <t>cizin_helm</t>
        </is>
      </c>
      <c r="D32" t="inlineStr">
        <is>
          <t>dread_jupon</t>
        </is>
      </c>
      <c r="E32" t="inlineStr">
        <is>
          <t>enif_manopolas</t>
        </is>
      </c>
      <c r="F32" t="inlineStr">
        <is>
          <t>enif_cosciales</t>
        </is>
      </c>
      <c r="G32" t="inlineStr">
        <is>
          <t>emicho_gambieras</t>
        </is>
      </c>
      <c r="H32" t="inlineStr">
        <is>
          <t>shifting_neck._+1</t>
        </is>
      </c>
      <c r="I32" t="inlineStr">
        <is>
          <t>pyaekue_belt_+1</t>
        </is>
      </c>
      <c r="J32" t="inlineStr">
        <is>
          <t>trux_earring</t>
        </is>
      </c>
      <c r="K32" t="inlineStr">
        <is>
          <t>trux_earring</t>
        </is>
      </c>
      <c r="L32" t="inlineStr">
        <is>
          <t>kayres_ring</t>
        </is>
      </c>
      <c r="M32" t="inlineStr">
        <is>
          <t>kayres_ring</t>
        </is>
      </c>
      <c r="O32" t="inlineStr">
        <is>
          <t>STR+1 DEX+1</t>
        </is>
      </c>
    </row>
    <row r="33">
      <c r="C33" t="inlineStr">
        <is>
          <t>cizin_helm_+1</t>
        </is>
      </c>
      <c r="D33" t="inlineStr">
        <is>
          <t>dux_sc._mail_+1</t>
        </is>
      </c>
      <c r="E33" t="inlineStr">
        <is>
          <t>espial_bracers</t>
        </is>
      </c>
      <c r="F33" t="inlineStr">
        <is>
          <t>espial_hose</t>
        </is>
      </c>
      <c r="G33" t="inlineStr">
        <is>
          <t>enif_gambieras</t>
        </is>
      </c>
      <c r="H33" t="inlineStr">
        <is>
          <t>sverrir_torque</t>
        </is>
      </c>
      <c r="I33" t="inlineStr">
        <is>
          <t>reiki_yotai</t>
        </is>
      </c>
      <c r="J33" t="inlineStr">
        <is>
          <t>zennaroi_earring</t>
        </is>
      </c>
      <c r="K33" t="inlineStr">
        <is>
          <t>zennaroi_earring</t>
        </is>
      </c>
      <c r="L33" t="inlineStr">
        <is>
          <t>moonlight_ring</t>
        </is>
      </c>
      <c r="M33" t="inlineStr">
        <is>
          <t>moonlight_ring</t>
        </is>
      </c>
      <c r="O33" t="inlineStr">
        <is>
          <t>STR+1 INT+1</t>
        </is>
      </c>
    </row>
    <row r="34">
      <c r="C34" t="inlineStr">
        <is>
          <t>crepuscular_helm</t>
        </is>
      </c>
      <c r="D34" t="inlineStr">
        <is>
          <t>dux_scale_mail</t>
        </is>
      </c>
      <c r="E34" t="inlineStr">
        <is>
          <t>euxine_gloves</t>
        </is>
      </c>
      <c r="F34" t="inlineStr">
        <is>
          <t>euxine_kecks</t>
        </is>
      </c>
      <c r="G34" t="inlineStr">
        <is>
          <t>eschite_greaves</t>
        </is>
      </c>
      <c r="H34" t="inlineStr">
        <is>
          <t>tlamiztli_collar</t>
        </is>
      </c>
      <c r="I34" t="inlineStr">
        <is>
          <t>sailfi_belt</t>
        </is>
      </c>
      <c r="L34" t="inlineStr">
        <is>
          <t>mouflon_ring</t>
        </is>
      </c>
      <c r="M34" t="inlineStr">
        <is>
          <t>mouflon_ring</t>
        </is>
      </c>
      <c r="O34" t="inlineStr">
        <is>
          <t>STR+1 MND+1</t>
        </is>
      </c>
    </row>
    <row r="35">
      <c r="C35" t="inlineStr">
        <is>
          <t>despair_helm</t>
        </is>
      </c>
      <c r="D35" t="inlineStr">
        <is>
          <t>emet_harness_+1</t>
        </is>
      </c>
      <c r="E35" t="inlineStr">
        <is>
          <t>euxine_gloves_+1</t>
        </is>
      </c>
      <c r="F35" t="inlineStr">
        <is>
          <t>euxine_kecks_+1</t>
        </is>
      </c>
      <c r="G35" t="inlineStr">
        <is>
          <t>espial_socks</t>
        </is>
      </c>
      <c r="H35" t="inlineStr">
        <is>
          <t>voltsurge_torque</t>
        </is>
      </c>
      <c r="I35" t="inlineStr">
        <is>
          <t>sailfi_belt_+1</t>
        </is>
      </c>
      <c r="L35" t="inlineStr">
        <is>
          <t>nguruve_ring</t>
        </is>
      </c>
      <c r="M35" t="inlineStr">
        <is>
          <t>nguruve_ring</t>
        </is>
      </c>
      <c r="O35" t="inlineStr">
        <is>
          <t>STR+1 VIT+1</t>
        </is>
      </c>
    </row>
    <row r="36">
      <c r="C36" t="inlineStr">
        <is>
          <t>drachenhorn</t>
        </is>
      </c>
      <c r="D36" t="inlineStr">
        <is>
          <t>emicho_haubert</t>
        </is>
      </c>
      <c r="E36" t="inlineStr">
        <is>
          <t>euxine_gloves_+2</t>
        </is>
      </c>
      <c r="F36" t="inlineStr">
        <is>
          <t>euxine_kecks_+2</t>
        </is>
      </c>
      <c r="G36" t="inlineStr">
        <is>
          <t>euxine_nails</t>
        </is>
      </c>
      <c r="I36" t="inlineStr">
        <is>
          <t>shetal_stone</t>
        </is>
      </c>
      <c r="L36" t="inlineStr">
        <is>
          <t>patricius_ring</t>
        </is>
      </c>
      <c r="M36" t="inlineStr">
        <is>
          <t>patricius_ring</t>
        </is>
      </c>
      <c r="O36" t="inlineStr">
        <is>
          <t>TP Bonus +50</t>
        </is>
      </c>
    </row>
    <row r="37">
      <c r="C37" t="inlineStr">
        <is>
          <t>dux_visor</t>
        </is>
      </c>
      <c r="D37" t="inlineStr">
        <is>
          <t>emicho_haubert_+1</t>
        </is>
      </c>
      <c r="E37" t="inlineStr">
        <is>
          <t>euxine_gloves_+3</t>
        </is>
      </c>
      <c r="F37" t="inlineStr">
        <is>
          <t>euxine_kecks_+3</t>
        </is>
      </c>
      <c r="G37" t="inlineStr">
        <is>
          <t>euxine_nails_+1</t>
        </is>
      </c>
      <c r="I37" t="inlineStr">
        <is>
          <t>sinew_belt</t>
        </is>
      </c>
      <c r="L37" t="inlineStr">
        <is>
          <t>pernicious_ring</t>
        </is>
      </c>
      <c r="M37" t="inlineStr">
        <is>
          <t>pernicious_ring</t>
        </is>
      </c>
      <c r="O37" t="inlineStr">
        <is>
          <t>Triple Atk.+1%</t>
        </is>
      </c>
    </row>
    <row r="38">
      <c r="C38" t="inlineStr">
        <is>
          <t>dux_visor_+1</t>
        </is>
      </c>
      <c r="D38" t="inlineStr">
        <is>
          <t>enif_corazza</t>
        </is>
      </c>
      <c r="E38" t="inlineStr">
        <is>
          <t>flam._manopolas_+1</t>
        </is>
      </c>
      <c r="F38" t="inlineStr">
        <is>
          <t>feast_hose</t>
        </is>
      </c>
      <c r="G38" t="inlineStr">
        <is>
          <t>euxine_nails_+2</t>
        </is>
      </c>
      <c r="I38" t="inlineStr">
        <is>
          <t>sulla_belt</t>
        </is>
      </c>
      <c r="L38" t="inlineStr">
        <is>
          <t>petrov_ring</t>
        </is>
      </c>
      <c r="M38" t="inlineStr">
        <is>
          <t>petrov_ring</t>
        </is>
      </c>
      <c r="O38" t="inlineStr">
        <is>
          <t>VIT+1</t>
        </is>
      </c>
    </row>
    <row r="39">
      <c r="C39" t="inlineStr">
        <is>
          <t>emicho_coronet</t>
        </is>
      </c>
      <c r="D39" t="inlineStr">
        <is>
          <t>espial_gambison</t>
        </is>
      </c>
      <c r="E39" t="inlineStr">
        <is>
          <t>flamma_manopolas</t>
        </is>
      </c>
      <c r="F39" t="inlineStr">
        <is>
          <t>flamma_dirs</t>
        </is>
      </c>
      <c r="G39" t="inlineStr">
        <is>
          <t>euxine_nails_+3</t>
        </is>
      </c>
      <c r="I39" t="inlineStr">
        <is>
          <t>svelt._gouriz_+1</t>
        </is>
      </c>
      <c r="L39" t="inlineStr">
        <is>
          <t>ramuh_ring</t>
        </is>
      </c>
      <c r="M39" t="inlineStr">
        <is>
          <t>ramuh_ring</t>
        </is>
      </c>
      <c r="O39" t="inlineStr">
        <is>
          <t>Weapon Skill Acc.+1</t>
        </is>
      </c>
    </row>
    <row r="40">
      <c r="C40" t="inlineStr">
        <is>
          <t>emicho_coronet_+1</t>
        </is>
      </c>
      <c r="D40" t="inlineStr">
        <is>
          <t>euxine_coat</t>
        </is>
      </c>
      <c r="E40" t="inlineStr">
        <is>
          <t>founders_gauntlets</t>
        </is>
      </c>
      <c r="F40" t="inlineStr">
        <is>
          <t>flamma_dirs_+1</t>
        </is>
      </c>
      <c r="G40" t="inlineStr">
        <is>
          <t>flam._gambieras_+1</t>
        </is>
      </c>
      <c r="I40" t="inlineStr">
        <is>
          <t>sweordfaetels</t>
        </is>
      </c>
      <c r="L40" t="inlineStr">
        <is>
          <t>ramuh_ring_+1</t>
        </is>
      </c>
      <c r="M40" t="inlineStr">
        <is>
          <t>ramuh_ring_+1</t>
        </is>
      </c>
      <c r="O40" t="inlineStr">
        <is>
          <t>Weapon skill damage+1% "However, some sources apply to all swings of the weapon skill (like Magian Trials Weapon Skill Damage +n% weapons)" (i.e. this indicates the augment is for all hits)</t>
        </is>
      </c>
    </row>
    <row r="41">
      <c r="C41" t="inlineStr">
        <is>
          <t>enedron_glasses</t>
        </is>
      </c>
      <c r="D41" t="inlineStr">
        <is>
          <t>euxine_coat_+1</t>
        </is>
      </c>
      <c r="E41" t="inlineStr">
        <is>
          <t>gefechthentzes</t>
        </is>
      </c>
      <c r="F41" t="inlineStr">
        <is>
          <t>founders_hose</t>
        </is>
      </c>
      <c r="G41" t="inlineStr">
        <is>
          <t>flamma_gambieras</t>
        </is>
      </c>
      <c r="I41" t="inlineStr">
        <is>
          <t>sweordfaetels_+1</t>
        </is>
      </c>
      <c r="L41" t="inlineStr">
        <is>
          <t>regal_ring</t>
        </is>
      </c>
      <c r="M41" t="inlineStr">
        <is>
          <t>regal_ring</t>
        </is>
      </c>
      <c r="O41" t="inlineStr">
        <is>
          <t>Weapon Skill:DMG+5% (increases by 5)</t>
        </is>
      </c>
    </row>
    <row r="42">
      <c r="C42" t="inlineStr">
        <is>
          <t>enif_zucchetto</t>
        </is>
      </c>
      <c r="D42" t="inlineStr">
        <is>
          <t>euxine_coat_+2</t>
        </is>
      </c>
      <c r="E42" t="inlineStr">
        <is>
          <t>gorney_moufles</t>
        </is>
      </c>
      <c r="F42" t="inlineStr">
        <is>
          <t>gor._brayettes_+1</t>
        </is>
      </c>
      <c r="G42" t="inlineStr">
        <is>
          <t>founders_greaves</t>
        </is>
      </c>
      <c r="I42" t="inlineStr">
        <is>
          <t>wanion_belt</t>
        </is>
      </c>
      <c r="L42" t="inlineStr">
        <is>
          <t>rufescent_ring</t>
        </is>
      </c>
      <c r="M42" t="inlineStr">
        <is>
          <t>rufescent_ring</t>
        </is>
      </c>
    </row>
    <row r="43">
      <c r="C43" t="inlineStr">
        <is>
          <t>espial_cap</t>
        </is>
      </c>
      <c r="D43" t="inlineStr">
        <is>
          <t>euxine_coat_+3</t>
        </is>
      </c>
      <c r="E43" t="inlineStr">
        <is>
          <t>gorney_moufles_+1</t>
        </is>
      </c>
      <c r="F43" t="inlineStr">
        <is>
          <t>gorney_brayettes</t>
        </is>
      </c>
      <c r="G43" t="inlineStr">
        <is>
          <t>gefechtschuhs</t>
        </is>
      </c>
      <c r="I43" t="inlineStr">
        <is>
          <t>windbuffet_belt_+1</t>
        </is>
      </c>
      <c r="L43" t="inlineStr">
        <is>
          <t>sljor_ring</t>
        </is>
      </c>
      <c r="M43" t="inlineStr">
        <is>
          <t>sljor_ring</t>
        </is>
      </c>
    </row>
    <row r="44">
      <c r="C44" t="inlineStr">
        <is>
          <t>euxine_hat</t>
        </is>
      </c>
      <c r="D44" t="inlineStr">
        <is>
          <t>febro_kaftan</t>
        </is>
      </c>
      <c r="E44" t="inlineStr">
        <is>
          <t>hachiya_tekko</t>
        </is>
      </c>
      <c r="F44" t="inlineStr">
        <is>
          <t>gyve_trousers</t>
        </is>
      </c>
      <c r="G44" t="inlineStr">
        <is>
          <t>ghadhab_nails</t>
        </is>
      </c>
      <c r="I44" t="inlineStr">
        <is>
          <t>yemaya_belt</t>
        </is>
      </c>
      <c r="L44" t="inlineStr">
        <is>
          <t>sroda_ring</t>
        </is>
      </c>
      <c r="M44" t="inlineStr">
        <is>
          <t>sroda_ring</t>
        </is>
      </c>
    </row>
    <row r="45">
      <c r="C45" t="inlineStr">
        <is>
          <t>euxine_hat_+1</t>
        </is>
      </c>
      <c r="D45" t="inlineStr">
        <is>
          <t>feverish_korazin</t>
        </is>
      </c>
      <c r="E45" t="inlineStr">
        <is>
          <t>hachiya_tekko_+1</t>
        </is>
      </c>
      <c r="F45" t="inlineStr">
        <is>
          <t>hachi._hakama_+1</t>
        </is>
      </c>
      <c r="G45" t="inlineStr">
        <is>
          <t>gigan._boots_+1</t>
        </is>
      </c>
      <c r="I45" t="inlineStr">
        <is>
          <t>zorans_belt</t>
        </is>
      </c>
      <c r="L45" t="inlineStr">
        <is>
          <t>supershear_ring</t>
        </is>
      </c>
      <c r="M45" t="inlineStr">
        <is>
          <t>supershear_ring</t>
        </is>
      </c>
    </row>
    <row r="46">
      <c r="C46" t="inlineStr">
        <is>
          <t>euxine_hat_+2</t>
        </is>
      </c>
      <c r="D46" t="inlineStr">
        <is>
          <t>flamma_korazin</t>
        </is>
      </c>
      <c r="E46" t="inlineStr">
        <is>
          <t>hachiya_tekko_+2</t>
        </is>
      </c>
      <c r="F46" t="inlineStr">
        <is>
          <t>hachiya_hakama</t>
        </is>
      </c>
      <c r="G46" t="inlineStr">
        <is>
          <t>gor._sollerets_+1</t>
        </is>
      </c>
      <c r="L46" t="inlineStr">
        <is>
          <t>varar_ring</t>
        </is>
      </c>
      <c r="M46" t="inlineStr">
        <is>
          <t>varar_ring</t>
        </is>
      </c>
    </row>
    <row r="47">
      <c r="C47" t="inlineStr">
        <is>
          <t>euxine_hat_+3</t>
        </is>
      </c>
      <c r="D47" t="inlineStr">
        <is>
          <t>flamma_korazin_+1</t>
        </is>
      </c>
      <c r="E47" t="inlineStr">
        <is>
          <t>hachiya_tekko_+3</t>
        </is>
      </c>
      <c r="F47" t="inlineStr">
        <is>
          <t>hachiya_hakama_+2</t>
        </is>
      </c>
      <c r="G47" t="inlineStr">
        <is>
          <t>gorney_sollerets</t>
        </is>
      </c>
      <c r="L47" t="inlineStr">
        <is>
          <t>varar_ring_+1</t>
        </is>
      </c>
      <c r="M47" t="inlineStr">
        <is>
          <t>varar_ring_+1</t>
        </is>
      </c>
    </row>
    <row r="48">
      <c r="C48" t="inlineStr">
        <is>
          <t>felistris_mask</t>
        </is>
      </c>
      <c r="D48" t="inlineStr">
        <is>
          <t>foppish_tunica</t>
        </is>
      </c>
      <c r="E48" t="inlineStr">
        <is>
          <t>hattori_tekko</t>
        </is>
      </c>
      <c r="F48" t="inlineStr">
        <is>
          <t>hachiya_hakama_+3</t>
        </is>
      </c>
      <c r="G48" t="inlineStr">
        <is>
          <t>hachi._kyahan_+1</t>
        </is>
      </c>
      <c r="L48" t="inlineStr">
        <is>
          <t>vehemence_ring</t>
        </is>
      </c>
      <c r="M48" t="inlineStr">
        <is>
          <t>vehemence_ring</t>
        </is>
      </c>
    </row>
    <row r="49">
      <c r="C49" t="inlineStr">
        <is>
          <t>flam._zucchetto_+1</t>
        </is>
      </c>
      <c r="D49" t="inlineStr">
        <is>
          <t>foppish_tunica_+1</t>
        </is>
      </c>
      <c r="E49" t="inlineStr">
        <is>
          <t>hattori_tekko_+1</t>
        </is>
      </c>
      <c r="F49" t="inlineStr">
        <is>
          <t>hattori_hakama</t>
        </is>
      </c>
      <c r="G49" t="inlineStr">
        <is>
          <t>hachiya_kyahan</t>
        </is>
      </c>
      <c r="L49" t="inlineStr">
        <is>
          <t>yacuruna_ring</t>
        </is>
      </c>
      <c r="M49" t="inlineStr">
        <is>
          <t>yacuruna_ring</t>
        </is>
      </c>
    </row>
    <row r="50">
      <c r="C50" t="inlineStr">
        <is>
          <t>flam._zucchetto_+2</t>
        </is>
      </c>
      <c r="D50" t="inlineStr">
        <is>
          <t>found._breastplate</t>
        </is>
      </c>
      <c r="E50" t="inlineStr">
        <is>
          <t>hattori_tekko_+2</t>
        </is>
      </c>
      <c r="F50" t="inlineStr">
        <is>
          <t>hattori_hakama_+1</t>
        </is>
      </c>
      <c r="G50" t="inlineStr">
        <is>
          <t>hachiya_kyahan_+2</t>
        </is>
      </c>
      <c r="L50" t="inlineStr">
        <is>
          <t>yacuruna_ring_+1</t>
        </is>
      </c>
      <c r="M50" t="inlineStr">
        <is>
          <t>yacuruna_ring_+1</t>
        </is>
      </c>
    </row>
    <row r="51">
      <c r="C51" t="inlineStr">
        <is>
          <t>flamma_zucchetto</t>
        </is>
      </c>
      <c r="D51" t="inlineStr">
        <is>
          <t>gefechtbrust</t>
        </is>
      </c>
      <c r="E51" t="inlineStr">
        <is>
          <t>hattori_tekko_+3</t>
        </is>
      </c>
      <c r="F51" t="inlineStr">
        <is>
          <t>hattori_hakama_+2</t>
        </is>
      </c>
      <c r="G51" t="inlineStr">
        <is>
          <t>hachiya_kyahan_+3</t>
        </is>
      </c>
    </row>
    <row r="52">
      <c r="C52" t="inlineStr">
        <is>
          <t>founders_corona</t>
        </is>
      </c>
      <c r="D52" t="inlineStr">
        <is>
          <t>gorney_haubert</t>
        </is>
      </c>
      <c r="E52" t="inlineStr">
        <is>
          <t>hegira_wristbands</t>
        </is>
      </c>
      <c r="F52" t="inlineStr">
        <is>
          <t>hattori_hakama_+3</t>
        </is>
      </c>
      <c r="G52" t="inlineStr">
        <is>
          <t>hattori_kyahan</t>
        </is>
      </c>
    </row>
    <row r="53">
      <c r="C53" t="inlineStr">
        <is>
          <t>gallian_helm_+1</t>
        </is>
      </c>
      <c r="D53" t="inlineStr">
        <is>
          <t>gorney_haubert_+1</t>
        </is>
      </c>
      <c r="E53" t="inlineStr">
        <is>
          <t>herculean_gloves</t>
        </is>
      </c>
      <c r="F53" t="inlineStr">
        <is>
          <t>herculean_trousers</t>
        </is>
      </c>
      <c r="G53" t="inlineStr">
        <is>
          <t>hattori_kyahan_+1</t>
        </is>
      </c>
    </row>
    <row r="54">
      <c r="C54" t="inlineStr">
        <is>
          <t>gavialis_helm</t>
        </is>
      </c>
      <c r="D54" t="inlineStr">
        <is>
          <t>grandoynes_mail</t>
        </is>
      </c>
      <c r="E54" t="inlineStr">
        <is>
          <t>hizamaru_kote_+2</t>
        </is>
      </c>
      <c r="F54" t="inlineStr">
        <is>
          <t>hrafn_hose</t>
        </is>
      </c>
      <c r="G54" t="inlineStr">
        <is>
          <t>hattori_kyahan_+2</t>
        </is>
      </c>
    </row>
    <row r="55">
      <c r="C55" t="inlineStr">
        <is>
          <t>genmei_kabuto</t>
        </is>
      </c>
      <c r="D55" t="inlineStr">
        <is>
          <t>gyve_doublet</t>
        </is>
      </c>
      <c r="E55" t="inlineStr">
        <is>
          <t>hrafn_gauntlets</t>
        </is>
      </c>
      <c r="F55" t="inlineStr">
        <is>
          <t>huginn_hose</t>
        </is>
      </c>
      <c r="G55" t="inlineStr">
        <is>
          <t>hattori_kyahan_+3</t>
        </is>
      </c>
    </row>
    <row r="56">
      <c r="C56" t="inlineStr">
        <is>
          <t>gorney_morion</t>
        </is>
      </c>
      <c r="D56" t="inlineStr">
        <is>
          <t>hachi._chain._+1</t>
        </is>
      </c>
      <c r="E56" t="inlineStr">
        <is>
          <t>huginn_gauntlets</t>
        </is>
      </c>
      <c r="F56" t="inlineStr">
        <is>
          <t>ighwa_trousers</t>
        </is>
      </c>
      <c r="G56" t="inlineStr">
        <is>
          <t>herculean_boots</t>
        </is>
      </c>
    </row>
    <row r="57">
      <c r="C57" t="inlineStr">
        <is>
          <t>gorney_morion_+1</t>
        </is>
      </c>
      <c r="D57" t="inlineStr">
        <is>
          <t>hachi._chainmail</t>
        </is>
      </c>
      <c r="E57" t="inlineStr">
        <is>
          <t>kachi._kote_+1</t>
        </is>
      </c>
      <c r="F57" t="inlineStr">
        <is>
          <t>jokushu_haidate</t>
        </is>
      </c>
      <c r="G57" t="inlineStr">
        <is>
          <t>hippo._socks_+1</t>
        </is>
      </c>
    </row>
    <row r="58">
      <c r="C58" t="inlineStr">
        <is>
          <t>hachi._hatsu._+1</t>
        </is>
      </c>
      <c r="D58" t="inlineStr">
        <is>
          <t>hachiya_chain._+2</t>
        </is>
      </c>
      <c r="E58" t="inlineStr">
        <is>
          <t>karieyh_moufles</t>
        </is>
      </c>
      <c r="F58" t="inlineStr">
        <is>
          <t>kari._brayettes_+1</t>
        </is>
      </c>
      <c r="G58" t="inlineStr">
        <is>
          <t>hiza._sune-ate_+2</t>
        </is>
      </c>
    </row>
    <row r="59">
      <c r="C59" t="inlineStr">
        <is>
          <t>hachiya_hatsu._+2</t>
        </is>
      </c>
      <c r="D59" t="inlineStr">
        <is>
          <t>hachiya_chain._+3</t>
        </is>
      </c>
      <c r="E59" t="inlineStr">
        <is>
          <t>karieyh_moufles_+1</t>
        </is>
      </c>
      <c r="F59" t="inlineStr">
        <is>
          <t>karieyh_brayettes</t>
        </is>
      </c>
      <c r="G59" t="inlineStr">
        <is>
          <t>hrafn_gambieras</t>
        </is>
      </c>
    </row>
    <row r="60">
      <c r="C60" t="inlineStr">
        <is>
          <t>hachiya_hatsu._+3</t>
        </is>
      </c>
      <c r="D60" t="inlineStr">
        <is>
          <t>hattori_ningi</t>
        </is>
      </c>
      <c r="E60" t="inlineStr">
        <is>
          <t>ken._tekko_+1</t>
        </is>
      </c>
      <c r="F60" t="inlineStr">
        <is>
          <t>ken._hakama</t>
        </is>
      </c>
      <c r="G60" t="inlineStr">
        <is>
          <t>huginn_gambieras</t>
        </is>
      </c>
    </row>
    <row r="61">
      <c r="C61" t="inlineStr">
        <is>
          <t>hachiya_hatsuburi</t>
        </is>
      </c>
      <c r="D61" t="inlineStr">
        <is>
          <t>hattori_ningi_+1</t>
        </is>
      </c>
      <c r="E61" t="inlineStr">
        <is>
          <t>kheper_wristbands</t>
        </is>
      </c>
      <c r="F61" t="inlineStr">
        <is>
          <t>kheper_kecks</t>
        </is>
      </c>
      <c r="G61" t="inlineStr">
        <is>
          <t>kar._sollerets_+1</t>
        </is>
      </c>
    </row>
    <row r="62">
      <c r="C62" t="inlineStr">
        <is>
          <t>hattori_zukin</t>
        </is>
      </c>
      <c r="D62" t="inlineStr">
        <is>
          <t>hattori_ningi_+2</t>
        </is>
      </c>
      <c r="E62" t="inlineStr">
        <is>
          <t>khepri_wristbands</t>
        </is>
      </c>
      <c r="F62" t="inlineStr">
        <is>
          <t>khepri_kecks</t>
        </is>
      </c>
      <c r="G62" t="inlineStr">
        <is>
          <t>karieyh_sollerets</t>
        </is>
      </c>
    </row>
    <row r="63">
      <c r="C63" t="inlineStr">
        <is>
          <t>hattori_zukin_+1</t>
        </is>
      </c>
      <c r="D63" t="inlineStr">
        <is>
          <t>hattori_ningi_+3</t>
        </is>
      </c>
      <c r="E63" t="inlineStr">
        <is>
          <t>kobo_kote</t>
        </is>
      </c>
      <c r="F63" t="inlineStr">
        <is>
          <t>laktisma_hose</t>
        </is>
      </c>
      <c r="G63" t="inlineStr">
        <is>
          <t>ken._sune-ate</t>
        </is>
      </c>
    </row>
    <row r="64">
      <c r="C64" t="inlineStr">
        <is>
          <t>hattori_zukin_+2</t>
        </is>
      </c>
      <c r="D64" t="inlineStr">
        <is>
          <t>heidrek_harness</t>
        </is>
      </c>
      <c r="E64" t="inlineStr">
        <is>
          <t>leyline_gloves</t>
        </is>
      </c>
      <c r="F64" t="inlineStr">
        <is>
          <t>lustr._subligar_+1</t>
        </is>
      </c>
      <c r="G64" t="inlineStr">
        <is>
          <t>ken._sune-ate_+1</t>
        </is>
      </c>
    </row>
    <row r="65">
      <c r="C65" t="inlineStr">
        <is>
          <t>hattori_zukin_+3</t>
        </is>
      </c>
      <c r="D65" t="inlineStr">
        <is>
          <t>herculean_vest</t>
        </is>
      </c>
      <c r="E65" t="inlineStr">
        <is>
          <t>lustr._mittens_+1</t>
        </is>
      </c>
      <c r="F65" t="inlineStr">
        <is>
          <t>lustratio_subligar</t>
        </is>
      </c>
      <c r="G65" t="inlineStr">
        <is>
          <t>kers_sollerets</t>
        </is>
      </c>
    </row>
    <row r="66">
      <c r="C66" t="inlineStr">
        <is>
          <t>herculean_helm</t>
        </is>
      </c>
      <c r="D66" t="inlineStr">
        <is>
          <t>hrafn_haubert</t>
        </is>
      </c>
      <c r="E66" t="inlineStr">
        <is>
          <t>lustratio_mittens</t>
        </is>
      </c>
      <c r="F66" t="inlineStr">
        <is>
          <t>malignance_tights</t>
        </is>
      </c>
      <c r="G66" t="inlineStr">
        <is>
          <t>lustra._leggings_+1</t>
        </is>
      </c>
    </row>
    <row r="67">
      <c r="C67" t="inlineStr">
        <is>
          <t>hiza._somen_+2</t>
        </is>
      </c>
      <c r="D67" t="inlineStr">
        <is>
          <t>huginn_haubert</t>
        </is>
      </c>
      <c r="E67" t="inlineStr">
        <is>
          <t>macabre_gaunt._+1</t>
        </is>
      </c>
      <c r="F67" t="inlineStr">
        <is>
          <t>manibozho_brais</t>
        </is>
      </c>
      <c r="G67" t="inlineStr">
        <is>
          <t>lustratio_leggings</t>
        </is>
      </c>
    </row>
    <row r="68">
      <c r="C68" t="inlineStr">
        <is>
          <t>hrafn_coronet</t>
        </is>
      </c>
      <c r="D68" t="inlineStr">
        <is>
          <t>karieyh_haubert</t>
        </is>
      </c>
      <c r="E68" t="inlineStr">
        <is>
          <t>malignance_gloves</t>
        </is>
      </c>
      <c r="F68" t="inlineStr">
        <is>
          <t>mesyohi_slacks</t>
        </is>
      </c>
      <c r="G68" t="inlineStr">
        <is>
          <t>malignance_boots</t>
        </is>
      </c>
    </row>
    <row r="69">
      <c r="C69" t="inlineStr">
        <is>
          <t>huginn_coronet</t>
        </is>
      </c>
      <c r="D69" t="inlineStr">
        <is>
          <t>karieyh_haubert_+1</t>
        </is>
      </c>
      <c r="E69" t="inlineStr">
        <is>
          <t>manibozho_gloves</t>
        </is>
      </c>
      <c r="F69" t="inlineStr">
        <is>
          <t>miki._cuisses</t>
        </is>
      </c>
      <c r="G69" t="inlineStr">
        <is>
          <t>manibozho_boots</t>
        </is>
      </c>
    </row>
    <row r="70">
      <c r="C70" t="inlineStr">
        <is>
          <t>ighwa_cap</t>
        </is>
      </c>
      <c r="D70" t="inlineStr">
        <is>
          <t>karmesin_vest</t>
        </is>
      </c>
      <c r="E70" t="inlineStr">
        <is>
          <t>miki._gauntlets</t>
        </is>
      </c>
      <c r="F70" t="inlineStr">
        <is>
          <t>mochi._hakama_+1</t>
        </is>
      </c>
      <c r="G70" t="inlineStr">
        <is>
          <t>mikinaak_greaves</t>
        </is>
      </c>
    </row>
    <row r="71">
      <c r="C71" t="inlineStr">
        <is>
          <t>imp._wing_hair._+1</t>
        </is>
      </c>
      <c r="D71" t="inlineStr">
        <is>
          <t>ken._samue_+1</t>
        </is>
      </c>
      <c r="E71" t="inlineStr">
        <is>
          <t>mochizuki_tekko</t>
        </is>
      </c>
      <c r="F71" t="inlineStr">
        <is>
          <t>mochi._hakama_+2</t>
        </is>
      </c>
      <c r="G71" t="inlineStr">
        <is>
          <t>mochi._kyahan_+1</t>
        </is>
      </c>
    </row>
    <row r="72">
      <c r="C72" t="inlineStr">
        <is>
          <t>karieyh_morion</t>
        </is>
      </c>
      <c r="D72" t="inlineStr">
        <is>
          <t>kheper_jacket</t>
        </is>
      </c>
      <c r="E72" t="inlineStr">
        <is>
          <t>mochizuki_tekko_+1</t>
        </is>
      </c>
      <c r="F72" t="inlineStr">
        <is>
          <t>mochi._hakama_+3</t>
        </is>
      </c>
      <c r="G72" t="inlineStr">
        <is>
          <t>mochi._kyahan_+2</t>
        </is>
      </c>
    </row>
    <row r="73">
      <c r="C73" t="inlineStr">
        <is>
          <t>karieyh_morion_+1</t>
        </is>
      </c>
      <c r="D73" t="inlineStr">
        <is>
          <t>khepri_jacket</t>
        </is>
      </c>
      <c r="E73" t="inlineStr">
        <is>
          <t>mochizuki_tekko_+2</t>
        </is>
      </c>
      <c r="F73" t="inlineStr">
        <is>
          <t>mochizuki_hakama</t>
        </is>
      </c>
      <c r="G73" t="inlineStr">
        <is>
          <t>mochi._kyahan_+3</t>
        </is>
      </c>
    </row>
    <row r="74">
      <c r="C74" t="inlineStr">
        <is>
          <t>ken._jinpachi</t>
        </is>
      </c>
      <c r="D74" t="inlineStr">
        <is>
          <t>kudzu_aketon</t>
        </is>
      </c>
      <c r="E74" t="inlineStr">
        <is>
          <t>mochizuki_tekko_+3</t>
        </is>
      </c>
      <c r="F74" t="inlineStr">
        <is>
          <t>mpacas_hose</t>
        </is>
      </c>
      <c r="G74" t="inlineStr">
        <is>
          <t>mochizuki_kyahan</t>
        </is>
      </c>
    </row>
    <row r="75">
      <c r="C75" t="inlineStr">
        <is>
          <t>ken._jinpachi_+1</t>
        </is>
      </c>
      <c r="D75" t="inlineStr">
        <is>
          <t>kumarbis_akar</t>
        </is>
      </c>
      <c r="E75" t="inlineStr">
        <is>
          <t>mpacas_gloves</t>
        </is>
      </c>
      <c r="F75" t="inlineStr">
        <is>
          <t>mummu_kecks</t>
        </is>
      </c>
      <c r="G75" t="inlineStr">
        <is>
          <t>mpacas_boots</t>
        </is>
      </c>
    </row>
    <row r="76">
      <c r="C76" t="inlineStr">
        <is>
          <t>kheper_bonnet</t>
        </is>
      </c>
      <c r="D76" t="inlineStr">
        <is>
          <t>laeradr_breastplate</t>
        </is>
      </c>
      <c r="E76" t="inlineStr">
        <is>
          <t>mummu_wrists</t>
        </is>
      </c>
      <c r="F76" t="inlineStr">
        <is>
          <t>mummu_kecks_+1</t>
        </is>
      </c>
      <c r="G76" t="inlineStr">
        <is>
          <t>mummu_gamash._+1</t>
        </is>
      </c>
    </row>
    <row r="77">
      <c r="C77" t="inlineStr">
        <is>
          <t>khepri_bonnet</t>
        </is>
      </c>
      <c r="D77" t="inlineStr">
        <is>
          <t>lapidary_tunic</t>
        </is>
      </c>
      <c r="E77" t="inlineStr">
        <is>
          <t>mummu_wrists_+1</t>
        </is>
      </c>
      <c r="F77" t="inlineStr">
        <is>
          <t>nahtirah_trousers</t>
        </is>
      </c>
      <c r="G77" t="inlineStr">
        <is>
          <t>mummu_gamashes</t>
        </is>
      </c>
    </row>
    <row r="78">
      <c r="C78" t="inlineStr">
        <is>
          <t>laeradr_helm</t>
        </is>
      </c>
      <c r="D78" t="inlineStr">
        <is>
          <t>laudan_cuirass</t>
        </is>
      </c>
      <c r="E78" t="inlineStr">
        <is>
          <t>murzim_manopolas</t>
        </is>
      </c>
      <c r="F78" t="inlineStr">
        <is>
          <t>nyame_flanchard</t>
        </is>
      </c>
      <c r="G78" t="inlineStr">
        <is>
          <t>murzim_gambieras</t>
        </is>
      </c>
    </row>
    <row r="79">
      <c r="C79" t="inlineStr">
        <is>
          <t>lithelimb_cap</t>
        </is>
      </c>
      <c r="D79" t="inlineStr">
        <is>
          <t>lustr._harness_+1</t>
        </is>
      </c>
      <c r="E79" t="inlineStr">
        <is>
          <t>myrmex_mittens</t>
        </is>
      </c>
      <c r="F79" t="inlineStr">
        <is>
          <t>odyssean_cuisses</t>
        </is>
      </c>
      <c r="G79" t="inlineStr">
        <is>
          <t>nyame_sollerets</t>
        </is>
      </c>
    </row>
    <row r="80">
      <c r="C80" t="inlineStr">
        <is>
          <t>loess_barbuta_+1</t>
        </is>
      </c>
      <c r="D80" t="inlineStr">
        <is>
          <t>malignance_tabard</t>
        </is>
      </c>
      <c r="E80" t="inlineStr">
        <is>
          <t>nilas_gloves</t>
        </is>
      </c>
      <c r="F80" t="inlineStr">
        <is>
          <t>osmium_cuisses</t>
        </is>
      </c>
      <c r="G80" t="inlineStr">
        <is>
          <t>omo._sune-ate</t>
        </is>
      </c>
    </row>
    <row r="81">
      <c r="C81" t="inlineStr">
        <is>
          <t>lustratio_cap</t>
        </is>
      </c>
      <c r="D81" t="inlineStr">
        <is>
          <t>manibozho_jerkin</t>
        </is>
      </c>
      <c r="E81" t="inlineStr">
        <is>
          <t>nomkahpa_mittens</t>
        </is>
      </c>
      <c r="F81" t="inlineStr">
        <is>
          <t>otronif_brais</t>
        </is>
      </c>
      <c r="G81" t="inlineStr">
        <is>
          <t>ostro_greaves</t>
        </is>
      </c>
    </row>
    <row r="82">
      <c r="C82" t="inlineStr">
        <is>
          <t>lustratio_cap_+1</t>
        </is>
      </c>
      <c r="D82" t="inlineStr">
        <is>
          <t>matanca_harness</t>
        </is>
      </c>
      <c r="E82" t="inlineStr">
        <is>
          <t>nyame_gauntlets</t>
        </is>
      </c>
      <c r="F82" t="inlineStr">
        <is>
          <t>otronif_brais_+1</t>
        </is>
      </c>
      <c r="G82" t="inlineStr">
        <is>
          <t>otronif_boots</t>
        </is>
      </c>
    </row>
    <row r="83">
      <c r="C83" t="inlineStr">
        <is>
          <t>maiitsoh_haube</t>
        </is>
      </c>
      <c r="D83" t="inlineStr">
        <is>
          <t>mekosu._harness</t>
        </is>
      </c>
      <c r="E83" t="inlineStr">
        <is>
          <t>onimusha-no-kote</t>
        </is>
      </c>
      <c r="F83" t="inlineStr">
        <is>
          <t>outrider_hose</t>
        </is>
      </c>
      <c r="G83" t="inlineStr">
        <is>
          <t>otronif_boots_+1</t>
        </is>
      </c>
    </row>
    <row r="84">
      <c r="C84" t="inlineStr">
        <is>
          <t>malignance_chapeau</t>
        </is>
      </c>
      <c r="D84" t="inlineStr">
        <is>
          <t>mes._haubergeon</t>
        </is>
      </c>
      <c r="E84" t="inlineStr">
        <is>
          <t>otronif_gloves</t>
        </is>
      </c>
      <c r="F84" t="inlineStr">
        <is>
          <t>phorcys_dirs</t>
        </is>
      </c>
      <c r="G84" t="inlineStr">
        <is>
          <t>outrider_greaves</t>
        </is>
      </c>
    </row>
    <row r="85">
      <c r="C85" t="inlineStr">
        <is>
          <t>maneas_armet</t>
        </is>
      </c>
      <c r="D85" t="inlineStr">
        <is>
          <t>miki._breastplate</t>
        </is>
      </c>
      <c r="E85" t="inlineStr">
        <is>
          <t>otronif_gloves_+1</t>
        </is>
      </c>
      <c r="F85" t="inlineStr">
        <is>
          <t>prestige_brais</t>
        </is>
      </c>
      <c r="G85" t="inlineStr">
        <is>
          <t>perfection_sabatons</t>
        </is>
      </c>
    </row>
    <row r="86">
      <c r="C86" t="inlineStr">
        <is>
          <t>manibozho_beret</t>
        </is>
      </c>
      <c r="D86" t="inlineStr">
        <is>
          <t>mochi._chainmail</t>
        </is>
      </c>
      <c r="E86" t="inlineStr">
        <is>
          <t>outrider_mittens</t>
        </is>
      </c>
      <c r="F86" t="inlineStr">
        <is>
          <t>qaaxo_tights</t>
        </is>
      </c>
      <c r="G86" t="inlineStr">
        <is>
          <t>phorcys_schuhs</t>
        </is>
      </c>
    </row>
    <row r="87">
      <c r="C87" t="inlineStr">
        <is>
          <t>mikinaak_helm</t>
        </is>
      </c>
      <c r="D87" t="inlineStr">
        <is>
          <t>mochi._chainmail_+1</t>
        </is>
      </c>
      <c r="E87" t="inlineStr">
        <is>
          <t>phorcys_mitts</t>
        </is>
      </c>
      <c r="F87" t="inlineStr">
        <is>
          <t>quiahuiz_trousers</t>
        </is>
      </c>
      <c r="G87" t="inlineStr">
        <is>
          <t>prestige_sabatons</t>
        </is>
      </c>
    </row>
    <row r="88">
      <c r="C88" t="inlineStr">
        <is>
          <t>mochi._hatsuburi</t>
        </is>
      </c>
      <c r="D88" t="inlineStr">
        <is>
          <t>mochi._chainmail_+2</t>
        </is>
      </c>
      <c r="E88" t="inlineStr">
        <is>
          <t>prestige_gauntlets</t>
        </is>
      </c>
      <c r="F88" t="inlineStr">
        <is>
          <t>rao_haidate</t>
        </is>
      </c>
      <c r="G88" t="inlineStr">
        <is>
          <t>qaaxo_leggings</t>
        </is>
      </c>
    </row>
    <row r="89">
      <c r="C89" t="inlineStr">
        <is>
          <t>mochi._hatsuburi_+1</t>
        </is>
      </c>
      <c r="D89" t="inlineStr">
        <is>
          <t>mochi._chainmail_+3</t>
        </is>
      </c>
      <c r="E89" t="inlineStr">
        <is>
          <t>punishing_gloves</t>
        </is>
      </c>
      <c r="F89" t="inlineStr">
        <is>
          <t>rao_haidate_+1</t>
        </is>
      </c>
      <c r="G89" t="inlineStr">
        <is>
          <t>rager_ledel._+1</t>
        </is>
      </c>
    </row>
    <row r="90">
      <c r="C90" t="inlineStr">
        <is>
          <t>mochi._hatsuburi_+2</t>
        </is>
      </c>
      <c r="D90" t="inlineStr">
        <is>
          <t>mpacas_doublet</t>
        </is>
      </c>
      <c r="E90" t="inlineStr">
        <is>
          <t>qaaxo_mitaines</t>
        </is>
      </c>
      <c r="F90" t="inlineStr">
        <is>
          <t>rev._breeches</t>
        </is>
      </c>
      <c r="G90" t="inlineStr">
        <is>
          <t>rao_sune-ate</t>
        </is>
      </c>
    </row>
    <row r="91">
      <c r="C91" t="inlineStr">
        <is>
          <t>mochi._hatsuburi_+3</t>
        </is>
      </c>
      <c r="D91" t="inlineStr">
        <is>
          <t>mummu_jacket</t>
        </is>
      </c>
      <c r="E91" t="inlineStr">
        <is>
          <t>rao_kote</t>
        </is>
      </c>
      <c r="F91" t="inlineStr">
        <is>
          <t>rev._breeches_+1</t>
        </is>
      </c>
      <c r="G91" t="inlineStr">
        <is>
          <t>rao_sune-ate_+1</t>
        </is>
      </c>
    </row>
    <row r="92">
      <c r="C92" t="inlineStr">
        <is>
          <t>mpacas_cap</t>
        </is>
      </c>
      <c r="D92" t="inlineStr">
        <is>
          <t>mummu_jacket_+1</t>
        </is>
      </c>
      <c r="E92" t="inlineStr">
        <is>
          <t>rao_kote_+1</t>
        </is>
      </c>
      <c r="F92" t="inlineStr">
        <is>
          <t>rev._breeches_+2</t>
        </is>
      </c>
      <c r="G92" t="inlineStr">
        <is>
          <t>rawhide_boots</t>
        </is>
      </c>
    </row>
    <row r="93">
      <c r="C93" t="inlineStr">
        <is>
          <t>mummu_bonnet</t>
        </is>
      </c>
      <c r="D93" t="inlineStr">
        <is>
          <t>murzim_corazza</t>
        </is>
      </c>
      <c r="E93" t="inlineStr">
        <is>
          <t>rawhide_gloves</t>
        </is>
      </c>
      <c r="F93" t="inlineStr">
        <is>
          <t>rev._breeches_+3</t>
        </is>
      </c>
      <c r="G93" t="inlineStr">
        <is>
          <t>rev._leggings</t>
        </is>
      </c>
    </row>
    <row r="94">
      <c r="C94" t="inlineStr">
        <is>
          <t>mummu_bonnet_+1</t>
        </is>
      </c>
      <c r="D94" t="inlineStr">
        <is>
          <t>nyame_mail</t>
        </is>
      </c>
      <c r="E94" t="inlineStr">
        <is>
          <t>rev._gauntlets</t>
        </is>
      </c>
      <c r="F94" t="inlineStr">
        <is>
          <t>revelation_brais</t>
        </is>
      </c>
      <c r="G94" t="inlineStr">
        <is>
          <t>rev._leggings_+1</t>
        </is>
      </c>
    </row>
    <row r="95">
      <c r="C95" t="inlineStr">
        <is>
          <t>mummu_bonnet_+2</t>
        </is>
      </c>
      <c r="D95" t="inlineStr">
        <is>
          <t>ogiers_surcoat</t>
        </is>
      </c>
      <c r="E95" t="inlineStr">
        <is>
          <t>rev._gauntlets_+1</t>
        </is>
      </c>
      <c r="F95" t="inlineStr">
        <is>
          <t>rheic_dirs</t>
        </is>
      </c>
      <c r="G95" t="inlineStr">
        <is>
          <t>rev._leggings_+2</t>
        </is>
      </c>
    </row>
    <row r="96">
      <c r="C96" t="inlineStr">
        <is>
          <t>murzim_zucchetto</t>
        </is>
      </c>
      <c r="D96" t="inlineStr">
        <is>
          <t>onca_suit</t>
        </is>
      </c>
      <c r="E96" t="inlineStr">
        <is>
          <t>rev._gauntlets_+2</t>
        </is>
      </c>
      <c r="F96" t="inlineStr">
        <is>
          <t>rheic_dirs_+1</t>
        </is>
      </c>
      <c r="G96" t="inlineStr">
        <is>
          <t>rev._leggings_+3</t>
        </is>
      </c>
    </row>
    <row r="97">
      <c r="C97" t="inlineStr">
        <is>
          <t>nemetona_cap</t>
        </is>
      </c>
      <c r="D97" t="inlineStr">
        <is>
          <t>otro._harness_+1</t>
        </is>
      </c>
      <c r="E97" t="inlineStr">
        <is>
          <t>rev._gauntlets_+3</t>
        </is>
      </c>
      <c r="F97" t="inlineStr">
        <is>
          <t>rheic_dirs_+2</t>
        </is>
      </c>
      <c r="G97" t="inlineStr">
        <is>
          <t>revelation_sabatons</t>
        </is>
      </c>
    </row>
    <row r="98">
      <c r="C98" t="inlineStr">
        <is>
          <t>null_masque</t>
        </is>
      </c>
      <c r="D98" t="inlineStr">
        <is>
          <t>otronif_harness</t>
        </is>
      </c>
      <c r="E98" t="inlineStr">
        <is>
          <t>revelation_gauntlets</t>
        </is>
      </c>
      <c r="F98" t="inlineStr">
        <is>
          <t>rheic_dirs_+3</t>
        </is>
      </c>
      <c r="G98" t="inlineStr">
        <is>
          <t>rheic_schuhs_+1</t>
        </is>
      </c>
    </row>
    <row r="99">
      <c r="C99" t="inlineStr">
        <is>
          <t>nyame_helm</t>
        </is>
      </c>
      <c r="D99" t="inlineStr">
        <is>
          <t>outrider_mail</t>
        </is>
      </c>
      <c r="E99" t="inlineStr">
        <is>
          <t>rheic_mitts</t>
        </is>
      </c>
      <c r="F99" t="inlineStr">
        <is>
          <t>ryuo_hakama</t>
        </is>
      </c>
      <c r="G99" t="inlineStr">
        <is>
          <t>rheic_schuhs_+2</t>
        </is>
      </c>
    </row>
    <row r="100">
      <c r="C100" t="inlineStr">
        <is>
          <t>otomi_helm</t>
        </is>
      </c>
      <c r="D100" t="inlineStr">
        <is>
          <t>pak_corselet</t>
        </is>
      </c>
      <c r="E100" t="inlineStr">
        <is>
          <t>rheic_mitts_+1</t>
        </is>
      </c>
      <c r="F100" t="inlineStr">
        <is>
          <t>ryuo_hakama_+1</t>
        </is>
      </c>
      <c r="G100" t="inlineStr">
        <is>
          <t>rheic_schuhs_+3</t>
        </is>
      </c>
    </row>
    <row r="101">
      <c r="C101" t="inlineStr">
        <is>
          <t>otronif_mask</t>
        </is>
      </c>
      <c r="D101" t="inlineStr">
        <is>
          <t>pak_corselet_+1</t>
        </is>
      </c>
      <c r="E101" t="inlineStr">
        <is>
          <t>rheic_mitts_+2</t>
        </is>
      </c>
      <c r="F101" t="inlineStr">
        <is>
          <t>sakpatas_cuisses</t>
        </is>
      </c>
      <c r="G101" t="inlineStr">
        <is>
          <t>ryuo_sune-ate</t>
        </is>
      </c>
    </row>
    <row r="102">
      <c r="C102" t="inlineStr">
        <is>
          <t>otronif_mask_+1</t>
        </is>
      </c>
      <c r="D102" t="inlineStr">
        <is>
          <t>passion_jacket</t>
        </is>
      </c>
      <c r="E102" t="inlineStr">
        <is>
          <t>rheic_mitts_+3</t>
        </is>
      </c>
      <c r="F102" t="inlineStr">
        <is>
          <t>samnuha_tights</t>
        </is>
      </c>
      <c r="G102" t="inlineStr">
        <is>
          <t>ryuo_sune-ate_+1</t>
        </is>
      </c>
    </row>
    <row r="103">
      <c r="C103" t="inlineStr">
        <is>
          <t>outrider_mask</t>
        </is>
      </c>
      <c r="D103" t="inlineStr">
        <is>
          <t>phorcys_korazin</t>
        </is>
      </c>
      <c r="E103" t="inlineStr">
        <is>
          <t>ryuo_tekko</t>
        </is>
      </c>
      <c r="F103" t="inlineStr">
        <is>
          <t>scuff._cosciales</t>
        </is>
      </c>
      <c r="G103" t="inlineStr">
        <is>
          <t>sakpatas_leggings</t>
        </is>
      </c>
    </row>
    <row r="104">
      <c r="C104" t="inlineStr">
        <is>
          <t>phorcys_salade</t>
        </is>
      </c>
      <c r="D104" t="inlineStr">
        <is>
          <t>porthos_byrnie</t>
        </is>
      </c>
      <c r="E104" t="inlineStr">
        <is>
          <t>ryuo_tekko_+1</t>
        </is>
      </c>
      <c r="F104" t="inlineStr">
        <is>
          <t>shabti_cuisses</t>
        </is>
      </c>
      <c r="G104" t="inlineStr">
        <is>
          <t>scamps_sollerets</t>
        </is>
      </c>
    </row>
    <row r="105">
      <c r="C105" t="inlineStr">
        <is>
          <t>prestige_crown</t>
        </is>
      </c>
      <c r="D105" t="inlineStr">
        <is>
          <t>prestige_platemail</t>
        </is>
      </c>
      <c r="E105" t="inlineStr">
        <is>
          <t>sakpatas_gauntlets</t>
        </is>
      </c>
      <c r="F105" t="inlineStr">
        <is>
          <t>shabti_cuisses_+1</t>
        </is>
      </c>
      <c r="G105" t="inlineStr">
        <is>
          <t>scopuli_nails_+1</t>
        </is>
      </c>
    </row>
    <row r="106">
      <c r="C106" t="inlineStr">
        <is>
          <t>ptica_headgear</t>
        </is>
      </c>
      <c r="D106" t="inlineStr">
        <is>
          <t>pursuers_doublet</t>
        </is>
      </c>
      <c r="E106" t="inlineStr">
        <is>
          <t>shab._gauntlets_+1</t>
        </is>
      </c>
      <c r="F106" t="inlineStr">
        <is>
          <t>shned._tights_+1</t>
        </is>
      </c>
      <c r="G106" t="inlineStr">
        <is>
          <t>shab._sabatons_+1</t>
        </is>
      </c>
    </row>
    <row r="107">
      <c r="C107" t="inlineStr">
        <is>
          <t>qaaxo_mask</t>
        </is>
      </c>
      <c r="D107" t="inlineStr">
        <is>
          <t>qaaxo_harness</t>
        </is>
      </c>
      <c r="E107" t="inlineStr">
        <is>
          <t>shabti_gauntlets</t>
        </is>
      </c>
      <c r="F107" t="inlineStr">
        <is>
          <t>shneddick_tights</t>
        </is>
      </c>
      <c r="G107" t="inlineStr">
        <is>
          <t>shabti_sabatons</t>
        </is>
      </c>
    </row>
    <row r="108">
      <c r="C108" t="inlineStr">
        <is>
          <t>quauhpilli_helm</t>
        </is>
      </c>
      <c r="D108" t="inlineStr">
        <is>
          <t>rao_togi</t>
        </is>
      </c>
      <c r="E108" t="inlineStr">
        <is>
          <t>shigure_tekko_+1</t>
        </is>
      </c>
      <c r="F108" t="inlineStr">
        <is>
          <t>sombra_tights_+1</t>
        </is>
      </c>
      <c r="G108" t="inlineStr">
        <is>
          <t>shned._boots_+1</t>
        </is>
      </c>
    </row>
    <row r="109">
      <c r="C109" t="inlineStr">
        <is>
          <t>quiahuiz_helm</t>
        </is>
      </c>
      <c r="D109" t="inlineStr">
        <is>
          <t>rao_togi_+1</t>
        </is>
      </c>
      <c r="E109" t="inlineStr">
        <is>
          <t>shned._gloves_+1</t>
        </is>
      </c>
      <c r="F109" t="inlineStr">
        <is>
          <t>souv._diechlings_+1</t>
        </is>
      </c>
      <c r="G109" t="inlineStr">
        <is>
          <t>shneddick_boots</t>
        </is>
      </c>
    </row>
    <row r="110">
      <c r="C110" t="inlineStr">
        <is>
          <t>rabid_visor</t>
        </is>
      </c>
      <c r="D110" t="inlineStr">
        <is>
          <t>reiki_osode</t>
        </is>
      </c>
      <c r="E110" t="inlineStr">
        <is>
          <t>shneddick_gloves</t>
        </is>
      </c>
      <c r="F110" t="inlineStr">
        <is>
          <t>souveran_diechlings</t>
        </is>
      </c>
      <c r="G110" t="inlineStr">
        <is>
          <t>shukuyu_sune-ate</t>
        </is>
      </c>
    </row>
    <row r="111">
      <c r="C111" t="inlineStr">
        <is>
          <t>rao_kabuto</t>
        </is>
      </c>
      <c r="D111" t="inlineStr">
        <is>
          <t>respite_cloak</t>
        </is>
      </c>
      <c r="E111" t="inlineStr">
        <is>
          <t>sombra_mit._+1</t>
        </is>
      </c>
      <c r="F111" t="inlineStr">
        <is>
          <t>sworn_brais</t>
        </is>
      </c>
      <c r="G111" t="inlineStr">
        <is>
          <t>soku._sune-ate</t>
        </is>
      </c>
    </row>
    <row r="112">
      <c r="C112" t="inlineStr">
        <is>
          <t>rao_kabuto_+1</t>
        </is>
      </c>
      <c r="D112" t="inlineStr">
        <is>
          <t>rev._surcoat_+1</t>
        </is>
      </c>
      <c r="E112" t="inlineStr">
        <is>
          <t>souv._handsch._+1</t>
        </is>
      </c>
      <c r="F112" t="inlineStr">
        <is>
          <t>taeon_tights</t>
        </is>
      </c>
      <c r="G112" t="inlineStr">
        <is>
          <t>sombra_leg._+1</t>
        </is>
      </c>
    </row>
    <row r="113">
      <c r="C113" t="inlineStr">
        <is>
          <t>rev._coronet</t>
        </is>
      </c>
      <c r="D113" t="inlineStr">
        <is>
          <t>rev._surcoat_+2</t>
        </is>
      </c>
      <c r="E113" t="inlineStr">
        <is>
          <t>souv._handschuhs</t>
        </is>
      </c>
      <c r="F113" t="inlineStr">
        <is>
          <t>temachtiani_pants</t>
        </is>
      </c>
      <c r="G113" t="inlineStr">
        <is>
          <t>sombra_leggings</t>
        </is>
      </c>
    </row>
    <row r="114">
      <c r="C114" t="inlineStr">
        <is>
          <t>rev._coronet_+1</t>
        </is>
      </c>
      <c r="D114" t="inlineStr">
        <is>
          <t>rev._surcoat_+3</t>
        </is>
      </c>
      <c r="E114" t="inlineStr">
        <is>
          <t>sulev._gauntlets_+1</t>
        </is>
      </c>
      <c r="F114" t="inlineStr">
        <is>
          <t>tenryu_hakama</t>
        </is>
      </c>
      <c r="G114" t="inlineStr">
        <is>
          <t>souveran_schuhs</t>
        </is>
      </c>
    </row>
    <row r="115">
      <c r="C115" t="inlineStr">
        <is>
          <t>rev._coronet_+2</t>
        </is>
      </c>
      <c r="D115" t="inlineStr">
        <is>
          <t>reverence_surcoat</t>
        </is>
      </c>
      <c r="E115" t="inlineStr">
        <is>
          <t>sworn_gauntlets</t>
        </is>
      </c>
      <c r="F115" t="inlineStr">
        <is>
          <t>tenryu_hakama_+1</t>
        </is>
      </c>
      <c r="G115" t="inlineStr">
        <is>
          <t>souveran_schuhs_+1</t>
        </is>
      </c>
    </row>
    <row r="116">
      <c r="C116" t="inlineStr">
        <is>
          <t>rev._coronet_+3</t>
        </is>
      </c>
      <c r="D116" t="inlineStr">
        <is>
          <t>rheic_korazin</t>
        </is>
      </c>
      <c r="E116" t="inlineStr">
        <is>
          <t>taeon_gloves</t>
        </is>
      </c>
      <c r="F116" t="inlineStr">
        <is>
          <t>thaumas_kecks</t>
        </is>
      </c>
      <c r="G116" t="inlineStr">
        <is>
          <t>sworn_sabatons</t>
        </is>
      </c>
    </row>
    <row r="117">
      <c r="C117" t="inlineStr">
        <is>
          <t>rheic_salade</t>
        </is>
      </c>
      <c r="D117" t="inlineStr">
        <is>
          <t>rheic_korazin_+1</t>
        </is>
      </c>
      <c r="E117" t="inlineStr">
        <is>
          <t>temachtiani_gloves</t>
        </is>
      </c>
      <c r="F117" t="inlineStr">
        <is>
          <t>thur._tights_+1</t>
        </is>
      </c>
      <c r="G117" t="inlineStr">
        <is>
          <t>taeon_boots</t>
        </is>
      </c>
    </row>
    <row r="118">
      <c r="C118" t="inlineStr">
        <is>
          <t>rheic_salade_+1</t>
        </is>
      </c>
      <c r="D118" t="inlineStr">
        <is>
          <t>rheic_korazin_+2</t>
        </is>
      </c>
      <c r="E118" t="inlineStr">
        <is>
          <t>tenryu_tekko</t>
        </is>
      </c>
      <c r="F118" t="inlineStr">
        <is>
          <t>thurandaut_tights</t>
        </is>
      </c>
      <c r="G118" t="inlineStr">
        <is>
          <t>temachtiani_boots</t>
        </is>
      </c>
    </row>
    <row r="119">
      <c r="C119" t="inlineStr">
        <is>
          <t>rheic_salade_+2</t>
        </is>
      </c>
      <c r="D119" t="inlineStr">
        <is>
          <t>rheic_korazin_+3</t>
        </is>
      </c>
      <c r="E119" t="inlineStr">
        <is>
          <t>tenryu_tekko_+1</t>
        </is>
      </c>
      <c r="F119" t="inlineStr">
        <is>
          <t>usk._hizayoroi_+1</t>
        </is>
      </c>
      <c r="G119" t="inlineStr">
        <is>
          <t>tenryu_sune-ate</t>
        </is>
      </c>
    </row>
    <row r="120">
      <c r="C120" t="inlineStr">
        <is>
          <t>rheic_salade_+3</t>
        </is>
      </c>
      <c r="D120" t="inlineStr">
        <is>
          <t>ryuo_domaru</t>
        </is>
      </c>
      <c r="E120" t="inlineStr">
        <is>
          <t>thaumas_gloves</t>
        </is>
      </c>
      <c r="F120" t="inlineStr">
        <is>
          <t>valorous_hose</t>
        </is>
      </c>
      <c r="G120" t="inlineStr">
        <is>
          <t>tenryu_sune-ate_+1</t>
        </is>
      </c>
    </row>
    <row r="121">
      <c r="C121" t="inlineStr">
        <is>
          <t>ryuo_somen</t>
        </is>
      </c>
      <c r="D121" t="inlineStr">
        <is>
          <t>ryuo_domaru_+1</t>
        </is>
      </c>
      <c r="E121" t="inlineStr">
        <is>
          <t>thur._gloves_+1</t>
        </is>
      </c>
      <c r="F121" t="inlineStr">
        <is>
          <t>volte_brayettes</t>
        </is>
      </c>
      <c r="G121" t="inlineStr">
        <is>
          <t>thaumas_nails</t>
        </is>
      </c>
    </row>
    <row r="122">
      <c r="C122" t="inlineStr">
        <is>
          <t>ryuo_somen_+1</t>
        </is>
      </c>
      <c r="D122" t="inlineStr">
        <is>
          <t>sakpatas_breastplate</t>
        </is>
      </c>
      <c r="E122" t="inlineStr">
        <is>
          <t>thurandaut_gloves</t>
        </is>
      </c>
      <c r="F122" t="inlineStr">
        <is>
          <t>volte_hose</t>
        </is>
      </c>
      <c r="G122" t="inlineStr">
        <is>
          <t>thur._boots_+1</t>
        </is>
      </c>
    </row>
    <row r="123">
      <c r="C123" t="inlineStr">
        <is>
          <t>sahip_helm</t>
        </is>
      </c>
      <c r="D123" t="inlineStr">
        <is>
          <t>savas_jawshan</t>
        </is>
      </c>
      <c r="E123" t="inlineStr">
        <is>
          <t>umuthi_gloves</t>
        </is>
      </c>
      <c r="F123" t="inlineStr">
        <is>
          <t>volte_tights</t>
        </is>
      </c>
      <c r="G123" t="inlineStr">
        <is>
          <t>thurandaut_boots</t>
        </is>
      </c>
    </row>
    <row r="124">
      <c r="C124" t="inlineStr">
        <is>
          <t>sakpatas_helm</t>
        </is>
      </c>
      <c r="D124" t="inlineStr">
        <is>
          <t>shab._cuirass_+1</t>
        </is>
      </c>
      <c r="E124" t="inlineStr">
        <is>
          <t>usk._gote_+1</t>
        </is>
      </c>
      <c r="F124" t="inlineStr">
        <is>
          <t>xaddi_cuisses</t>
        </is>
      </c>
      <c r="G124" t="inlineStr">
        <is>
          <t>usk._sune-ate_+1</t>
        </is>
      </c>
    </row>
    <row r="125">
      <c r="C125" t="inlineStr">
        <is>
          <t>seiokona_beret</t>
        </is>
      </c>
      <c r="D125" t="inlineStr">
        <is>
          <t>shabti_cuirass</t>
        </is>
      </c>
      <c r="E125" t="inlineStr">
        <is>
          <t>volte_bracers</t>
        </is>
      </c>
      <c r="F125" t="inlineStr">
        <is>
          <t>xux_trousers</t>
        </is>
      </c>
      <c r="G125" t="inlineStr">
        <is>
          <t>vanir_boots</t>
        </is>
      </c>
    </row>
    <row r="126">
      <c r="C126" t="inlineStr">
        <is>
          <t>shabti_armet</t>
        </is>
      </c>
      <c r="D126" t="inlineStr">
        <is>
          <t>shned._tabard_+1</t>
        </is>
      </c>
      <c r="E126" t="inlineStr">
        <is>
          <t>volte_mittens</t>
        </is>
      </c>
      <c r="F126" t="inlineStr">
        <is>
          <t>yorium_cuisses</t>
        </is>
      </c>
      <c r="G126" t="inlineStr">
        <is>
          <t>veikr_pumps</t>
        </is>
      </c>
    </row>
    <row r="127">
      <c r="C127" t="inlineStr">
        <is>
          <t>shabti_armet_+1</t>
        </is>
      </c>
      <c r="D127" t="inlineStr">
        <is>
          <t>shneddick_tabard</t>
        </is>
      </c>
      <c r="E127" t="inlineStr">
        <is>
          <t>volte_moufles</t>
        </is>
      </c>
      <c r="F127" t="inlineStr">
        <is>
          <t>zoar_subligar</t>
        </is>
      </c>
      <c r="G127" t="inlineStr">
        <is>
          <t>volte_boots</t>
        </is>
      </c>
    </row>
    <row r="128">
      <c r="C128" t="inlineStr">
        <is>
          <t>shned._chapeau_+1</t>
        </is>
      </c>
      <c r="D128" t="inlineStr">
        <is>
          <t>sombra_harn._+1</t>
        </is>
      </c>
      <c r="E128" t="inlineStr">
        <is>
          <t>wildheithentzes</t>
        </is>
      </c>
      <c r="F128" t="inlineStr">
        <is>
          <t>zoar_subligar_+1</t>
        </is>
      </c>
      <c r="G128" t="inlineStr">
        <is>
          <t>volte_sollerets</t>
        </is>
      </c>
    </row>
    <row r="129">
      <c r="C129" t="inlineStr">
        <is>
          <t>shneddick_chapeau</t>
        </is>
      </c>
      <c r="D129" t="inlineStr">
        <is>
          <t>sombra_harness</t>
        </is>
      </c>
      <c r="E129" t="inlineStr">
        <is>
          <t>xaddi_gauntlets</t>
        </is>
      </c>
      <c r="G129" t="inlineStr">
        <is>
          <t>volte_spats</t>
        </is>
      </c>
    </row>
    <row r="130">
      <c r="C130" t="inlineStr">
        <is>
          <t>skormoth_mask</t>
        </is>
      </c>
      <c r="D130" t="inlineStr">
        <is>
          <t>souv._cuirass_+1</t>
        </is>
      </c>
      <c r="E130" t="inlineStr">
        <is>
          <t>yorium_gauntlets</t>
        </is>
      </c>
      <c r="G130" t="inlineStr">
        <is>
          <t>whirlpool_greaves</t>
        </is>
      </c>
    </row>
    <row r="131">
      <c r="C131" t="inlineStr">
        <is>
          <t>sombra_tiara_+1</t>
        </is>
      </c>
      <c r="D131" t="inlineStr">
        <is>
          <t>souveran_cuirass</t>
        </is>
      </c>
      <c r="G131" t="inlineStr">
        <is>
          <t>wildheitschuhs</t>
        </is>
      </c>
    </row>
    <row r="132">
      <c r="C132" t="inlineStr">
        <is>
          <t>souv._schaller_+1</t>
        </is>
      </c>
      <c r="D132" t="inlineStr">
        <is>
          <t>sworn_platemail</t>
        </is>
      </c>
      <c r="G132" t="inlineStr">
        <is>
          <t>wurrukatte_boots</t>
        </is>
      </c>
    </row>
    <row r="133">
      <c r="C133" t="inlineStr">
        <is>
          <t>souveran_schaller</t>
        </is>
      </c>
      <c r="D133" t="inlineStr">
        <is>
          <t>taeon_tabard</t>
        </is>
      </c>
      <c r="G133" t="inlineStr">
        <is>
          <t>xaddi_boots</t>
        </is>
      </c>
    </row>
    <row r="134">
      <c r="C134" t="inlineStr">
        <is>
          <t>sukeroku_hachi.</t>
        </is>
      </c>
      <c r="D134" t="inlineStr">
        <is>
          <t>tartarus_platemail</t>
        </is>
      </c>
      <c r="G134" t="inlineStr">
        <is>
          <t>yorium_sabatons</t>
        </is>
      </c>
    </row>
    <row r="135">
      <c r="C135" t="inlineStr">
        <is>
          <t>sulevias_mask_+2</t>
        </is>
      </c>
      <c r="D135" t="inlineStr">
        <is>
          <t>tatena._harama._+1</t>
        </is>
      </c>
    </row>
    <row r="136">
      <c r="C136" t="inlineStr">
        <is>
          <t>sworn_crown</t>
        </is>
      </c>
      <c r="D136" t="inlineStr">
        <is>
          <t>temachtiani_shirt</t>
        </is>
      </c>
    </row>
    <row r="137">
      <c r="C137" t="inlineStr">
        <is>
          <t>taeon_chapeau</t>
        </is>
      </c>
      <c r="D137" t="inlineStr">
        <is>
          <t>tenryu_domaru</t>
        </is>
      </c>
    </row>
    <row r="138">
      <c r="C138" t="inlineStr">
        <is>
          <t>tema._headband</t>
        </is>
      </c>
      <c r="D138" t="inlineStr">
        <is>
          <t>tenryu_domaru_+1</t>
        </is>
      </c>
    </row>
    <row r="139">
      <c r="C139" t="inlineStr">
        <is>
          <t>tenryu_somen</t>
        </is>
      </c>
      <c r="D139" t="inlineStr">
        <is>
          <t>terminal_plate</t>
        </is>
      </c>
    </row>
    <row r="140">
      <c r="C140" t="inlineStr">
        <is>
          <t>tenryu_somen_+1</t>
        </is>
      </c>
      <c r="D140" t="inlineStr">
        <is>
          <t>tessera_saio</t>
        </is>
      </c>
    </row>
    <row r="141">
      <c r="C141" t="inlineStr">
        <is>
          <t>terminal_helm</t>
        </is>
      </c>
      <c r="D141" t="inlineStr">
        <is>
          <t>thaumas_coat</t>
        </is>
      </c>
    </row>
    <row r="142">
      <c r="C142" t="inlineStr">
        <is>
          <t>thaumas_hat</t>
        </is>
      </c>
      <c r="D142" t="inlineStr">
        <is>
          <t>thur._tabard_+1</t>
        </is>
      </c>
    </row>
    <row r="143">
      <c r="C143" t="inlineStr">
        <is>
          <t>thur._chapeau_+1</t>
        </is>
      </c>
      <c r="D143" t="inlineStr">
        <is>
          <t>thurandaut_tabard</t>
        </is>
      </c>
    </row>
    <row r="144">
      <c r="C144" t="inlineStr">
        <is>
          <t>thurandaut_chapeau</t>
        </is>
      </c>
      <c r="D144" t="inlineStr">
        <is>
          <t>uac_jerkin</t>
        </is>
      </c>
    </row>
    <row r="145">
      <c r="C145" t="inlineStr">
        <is>
          <t>ukuxkaj_cap</t>
        </is>
      </c>
      <c r="D145" t="inlineStr">
        <is>
          <t>usk._haramaki_+1</t>
        </is>
      </c>
    </row>
    <row r="146">
      <c r="C146" t="inlineStr">
        <is>
          <t>umbani_cap</t>
        </is>
      </c>
      <c r="D146" t="inlineStr">
        <is>
          <t>vara_brigandine</t>
        </is>
      </c>
    </row>
    <row r="147">
      <c r="C147" t="inlineStr">
        <is>
          <t>usk._somen_+1</t>
        </is>
      </c>
      <c r="D147" t="inlineStr">
        <is>
          <t>volte_harness</t>
        </is>
      </c>
    </row>
    <row r="148">
      <c r="C148" t="inlineStr">
        <is>
          <t>volte_cap</t>
        </is>
      </c>
      <c r="D148" t="inlineStr">
        <is>
          <t>volte_haubert</t>
        </is>
      </c>
    </row>
    <row r="149">
      <c r="C149" t="inlineStr">
        <is>
          <t>volte_salade</t>
        </is>
      </c>
      <c r="D149" t="inlineStr">
        <is>
          <t>volte_jupon</t>
        </is>
      </c>
    </row>
    <row r="150">
      <c r="C150" t="inlineStr">
        <is>
          <t>volte_tiara</t>
        </is>
      </c>
      <c r="D150" t="inlineStr">
        <is>
          <t>wildheitbrust</t>
        </is>
      </c>
    </row>
    <row r="151">
      <c r="C151" t="inlineStr">
        <is>
          <t>whirlpool_mask</t>
        </is>
      </c>
      <c r="D151" t="inlineStr">
        <is>
          <t>xaddi_mail</t>
        </is>
      </c>
    </row>
    <row r="152">
      <c r="C152" t="inlineStr">
        <is>
          <t>xaddi_headgear</t>
        </is>
      </c>
      <c r="D152" t="inlineStr">
        <is>
          <t>yorium_cuirass</t>
        </is>
      </c>
    </row>
    <row r="153">
      <c r="C153" t="inlineStr">
        <is>
          <t>yaoyotl_helm</t>
        </is>
      </c>
    </row>
    <row r="154">
      <c r="C154" t="inlineStr">
        <is>
          <t>yorium_barbuta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2026-06-01T05:26:02Z</dcterms:created>
  <dcterms:modified xmlns:dcterms="http://purl.org/dc/terms/" xmlns:xsi="http://www.w3.org/2001/XMLSchema-instance" xsi:type="dcterms:W3CDTF">2026-06-01T05:26:02Z</dcterms:modified>
</cp:coreProperties>
</file>