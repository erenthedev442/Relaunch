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Weaponskill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_ctx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##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1" fontId="3" fillId="0" borderId="0" pivotButton="0" quotePrefix="0" xfId="0"/>
    <xf numFmtId="1" fontId="0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DPS / Weaponskill what-if workbook</t>
        </is>
      </c>
    </row>
    <row r="2">
      <c r="A2" s="2" t="inlineStr">
        <is>
          <t>Character: Jbae   Target: Leaping Lizzy (T1)   WS column: Chant Du Cygne @ TP 1000</t>
        </is>
      </c>
    </row>
    <row r="3">
      <c r="A3" s="3" t="inlineStr"/>
    </row>
    <row r="4">
      <c r="A4" s="4" t="inlineStr">
        <is>
          <t>Pick what to analyze (auto-picked for you, but you choose):</t>
        </is>
      </c>
    </row>
    <row r="5">
      <c r="A5" s="3" t="inlineStr">
        <is>
          <t xml:space="preserve">   * WEAPONSKILLS sheet -- every WS your weapon can use, ranked by damage on your current set. The auto-pick is marked.</t>
        </is>
      </c>
    </row>
    <row r="6">
      <c r="A6" s="3" t="inlineStr">
        <is>
          <t xml:space="preserve">   * TARGETS sheet -- your auto-DPS / WS / rotation vs all 15 Hunting League NMs. The current target is marked.</t>
        </is>
      </c>
    </row>
    <row r="7">
      <c r="A7" s="3" t="inlineStr">
        <is>
          <t xml:space="preserve">   To re-focus every sheet on a different WS or NM, re-run whatif with --ws "Name" and/or --target "Name".</t>
        </is>
      </c>
    </row>
    <row r="8">
      <c r="A8" s="3" t="inlineStr"/>
    </row>
    <row r="9">
      <c r="A9" s="4" t="inlineStr">
        <is>
          <t>Two ways to test 'is this gear/augment worth it?':</t>
        </is>
      </c>
    </row>
    <row r="10">
      <c r="A10" s="3" t="inlineStr"/>
    </row>
    <row r="11">
      <c r="A11" s="4" t="inlineStr">
        <is>
          <t>1) SENSITIVITY sheet  (instant, approximate)</t>
        </is>
      </c>
    </row>
    <row r="12">
      <c r="A12" s="3" t="inlineStr">
        <is>
          <t xml:space="preserve">   Each row is the value of ONE point of a mod at your CURRENT set, for auto-DPS, weaponskill, and rotation.</t>
        </is>
      </c>
    </row>
    <row r="13">
      <c r="A13" s="3" t="inlineStr">
        <is>
          <t xml:space="preserve">   Type how much of each mod a hypothetical augment/piece would give in the yellow 'Your amount' column;</t>
        </is>
      </c>
    </row>
    <row r="14">
      <c r="A14" s="3" t="inlineStr">
        <is>
          <t xml:space="preserve">   the green 'Est.' columns and the TOTAL row update live. A value near 0 means you're capped there -- don't bother.</t>
        </is>
      </c>
    </row>
    <row r="15">
      <c r="A15" s="3" t="inlineStr">
        <is>
          <t xml:space="preserve">   This is a first-order estimate: great for quick triage, but big combined swings drift from exact.</t>
        </is>
      </c>
    </row>
    <row r="16">
      <c r="A16" s="3" t="inlineStr"/>
    </row>
    <row r="17">
      <c r="A17" s="4" t="inlineStr">
        <is>
          <t>2) SCENARIOS sheet  (exact, needs one re-run)</t>
        </is>
      </c>
    </row>
    <row r="18">
      <c r="A18" s="3" t="inlineStr">
        <is>
          <t xml:space="preserve">   Fill a row per hypothetical: a name, the Slot, an optional Base item (owned or aspirational), and a Mods list.</t>
        </is>
      </c>
    </row>
    <row r="19">
      <c r="A19" s="3" t="inlineStr">
        <is>
          <t xml:space="preserve">   Mods syntax:  STR:15 ATT:20 DOUBLE_ATTACK:3   (also accepts + or = or spaces; names are the mod.lua enum names).</t>
        </is>
      </c>
    </row>
    <row r="20">
      <c r="A20" s="3" t="inlineStr">
        <is>
          <t xml:space="preserve">   Base item blank = a brand-new item defined entirely by your Mods list. Base item set = that item's stats PLUS your Mods (augments).</t>
        </is>
      </c>
    </row>
    <row r="21">
      <c r="A21" s="3" t="inlineStr">
        <is>
          <t xml:space="preserve">   Then run:   python -m tools.dpscalc score Jbae &lt;your_mystats.txt&gt; &lt;this_file.xlsx&gt;</t>
        </is>
      </c>
    </row>
    <row r="22">
      <c r="A22" s="3" t="inlineStr">
        <is>
          <t xml:space="preserve">   The exact Auto/WS/Rotation columns and the deltas vs your equipped set get written back into the sheet.</t>
        </is>
      </c>
    </row>
    <row r="23">
      <c r="A23" s="3" t="inlineStr"/>
    </row>
    <row r="24">
      <c r="A24" s="4" t="inlineStr">
        <is>
          <t>Notes</t>
        </is>
      </c>
    </row>
    <row r="25">
      <c r="A25" s="3" t="inlineStr">
        <is>
          <t xml:space="preserve">   * The weapon (main+sub) is held FIXED. A weapon swap needs a fresh !mystats anchor captured with that weapon equipped.</t>
        </is>
      </c>
    </row>
    <row r="26">
      <c r="A26" s="3" t="inlineStr">
        <is>
          <t xml:space="preserve">   * Capture !mystats UNBUFFED and WITHOUT FOOD in your currently equipped set, or the numbers drift.</t>
        </is>
      </c>
    </row>
    <row r="27">
      <c r="A27" s="3" t="inlineStr">
        <is>
          <t xml:space="preserve">   * Mod names: run  python -m tools.dpscalc mods  for a sample, or see scripts/enum/mod.lua for the full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Equipped-set baseline</t>
        </is>
      </c>
    </row>
    <row r="2">
      <c r="A2" s="6" t="inlineStr">
        <is>
          <t>Jbae  PLD99/NIN99</t>
        </is>
      </c>
    </row>
    <row r="3">
      <c r="A3" t="inlineStr"/>
    </row>
    <row r="4">
      <c r="A4" t="inlineStr">
        <is>
          <t>Target</t>
        </is>
      </c>
      <c r="B4" t="inlineStr">
        <is>
          <t>Leaping Lizzy</t>
        </is>
      </c>
    </row>
    <row r="5">
      <c r="A5" t="inlineStr">
        <is>
          <t>Target DEF</t>
        </is>
      </c>
      <c r="B5" t="n">
        <v>350</v>
      </c>
    </row>
    <row r="6">
      <c r="A6" t="inlineStr">
        <is>
          <t>Target EVA</t>
        </is>
      </c>
      <c r="B6" t="n">
        <v>100</v>
      </c>
    </row>
    <row r="7">
      <c r="A7" t="inlineStr"/>
    </row>
    <row r="8">
      <c r="A8" s="7" t="inlineStr">
        <is>
          <t>Auto-attack DPS</t>
        </is>
      </c>
      <c r="B8" s="7" t="n">
        <v>434</v>
      </c>
    </row>
    <row r="9">
      <c r="A9" s="7" t="inlineStr">
        <is>
          <t>WS: Chant Du Cygne @ TP 1000</t>
        </is>
      </c>
      <c r="B9" s="7" t="n">
        <v>37068</v>
      </c>
    </row>
    <row r="10">
      <c r="A10" s="7" t="inlineStr">
        <is>
          <t>Rotation DPS</t>
        </is>
      </c>
      <c r="B10" s="7" t="n">
        <v>2787.4</v>
      </c>
    </row>
    <row r="11">
      <c r="A11" t="inlineStr"/>
    </row>
    <row r="12">
      <c r="A12" t="inlineStr">
        <is>
          <t>STR</t>
        </is>
      </c>
      <c r="B12" t="n">
        <v>180</v>
      </c>
    </row>
    <row r="13">
      <c r="A13" t="inlineStr">
        <is>
          <t>DEX</t>
        </is>
      </c>
      <c r="B13" t="n">
        <v>175</v>
      </c>
    </row>
    <row r="14">
      <c r="A14" t="inlineStr">
        <is>
          <t>Attack</t>
        </is>
      </c>
      <c r="B14" t="n">
        <v>1250</v>
      </c>
    </row>
    <row r="15">
      <c r="A15" t="inlineStr">
        <is>
          <t>Accuracy</t>
        </is>
      </c>
      <c r="B15" t="n">
        <v>1180</v>
      </c>
    </row>
    <row r="16">
      <c r="A16" t="inlineStr">
        <is>
          <t>Weapon DMG</t>
        </is>
      </c>
      <c r="B16" t="n">
        <v>181</v>
      </c>
    </row>
    <row r="17">
      <c r="A17" t="inlineStr">
        <is>
          <t>Dbl/Trpl/Quad Atk %</t>
        </is>
      </c>
      <c r="B17" t="inlineStr">
        <is>
          <t>0/2/34</t>
        </is>
      </c>
    </row>
    <row r="18">
      <c r="A18" t="inlineStr">
        <is>
          <t>Dual Wield %</t>
        </is>
      </c>
      <c r="B18" t="n">
        <v>0</v>
      </c>
    </row>
    <row r="19">
      <c r="A19" t="inlineStr">
        <is>
          <t>Haste-Gear (/1024)</t>
        </is>
      </c>
      <c r="B19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4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5" t="inlineStr">
        <is>
          <t>Weaponskills vs Leaping Lizzy -- ranked by your configured TP1000 damage on your CURRENT set (columns show the full TP curve)</t>
        </is>
      </c>
    </row>
    <row r="2">
      <c r="A2" s="8" t="inlineStr">
        <is>
          <t>Weaponskill</t>
        </is>
      </c>
      <c r="B2" s="8" t="inlineStr">
        <is>
          <t>Hits</t>
        </is>
      </c>
      <c r="C2" s="8" t="inlineStr">
        <is>
          <t>WSC (stat blend)</t>
        </is>
      </c>
      <c r="D2" s="8" t="inlineStr">
        <is>
          <t>dmg @ TP1000</t>
        </is>
      </c>
      <c r="E2" s="8" t="inlineStr">
        <is>
          <t>dmg @ TP2000</t>
        </is>
      </c>
      <c r="F2" s="8" t="inlineStr">
        <is>
          <t>dmg @ TP3000</t>
        </is>
      </c>
      <c r="G2" s="8" t="inlineStr">
        <is>
          <t>Pick</t>
        </is>
      </c>
    </row>
    <row r="3">
      <c r="A3" s="7" t="inlineStr">
        <is>
          <t>Chant Du Cygne</t>
        </is>
      </c>
      <c r="B3" s="7" t="n">
        <v>3</v>
      </c>
      <c r="C3" s="7" t="inlineStr">
        <is>
          <t>80% DEX</t>
        </is>
      </c>
      <c r="D3" s="9" t="n">
        <v>37068</v>
      </c>
      <c r="E3" s="9" t="n">
        <v>38117</v>
      </c>
      <c r="F3" s="9" t="n">
        <v>39691</v>
      </c>
      <c r="G3" s="7" t="inlineStr">
        <is>
          <t>* auto-pick @ TP1000</t>
        </is>
      </c>
    </row>
    <row r="4">
      <c r="A4" t="inlineStr">
        <is>
          <t>Vorpal Blade</t>
        </is>
      </c>
      <c r="B4" t="n">
        <v>4</v>
      </c>
      <c r="C4" t="inlineStr">
        <is>
          <t>60% STR</t>
        </is>
      </c>
      <c r="D4" s="10" t="n">
        <v>26987</v>
      </c>
      <c r="E4" s="10" t="n">
        <v>28537</v>
      </c>
      <c r="F4" s="10" t="n">
        <v>30087</v>
      </c>
    </row>
    <row r="5">
      <c r="A5" t="inlineStr">
        <is>
          <t>Swift Blade</t>
        </is>
      </c>
      <c r="B5" t="n">
        <v>3</v>
      </c>
      <c r="C5" t="inlineStr">
        <is>
          <t>50% STR, 50% MND</t>
        </is>
      </c>
      <c r="D5" s="10" t="n">
        <v>25804</v>
      </c>
      <c r="E5" s="10" t="n">
        <v>25804</v>
      </c>
      <c r="F5" s="10" t="n">
        <v>25804</v>
      </c>
    </row>
    <row r="6">
      <c r="A6" t="inlineStr">
        <is>
          <t>Requiescat</t>
        </is>
      </c>
      <c r="B6" t="n">
        <v>5</v>
      </c>
      <c r="C6" t="inlineStr">
        <is>
          <t>85% MND</t>
        </is>
      </c>
      <c r="D6" s="10" t="n">
        <v>25460</v>
      </c>
      <c r="E6" s="10" t="n">
        <v>27131</v>
      </c>
      <c r="F6" s="10" t="n">
        <v>28722</v>
      </c>
    </row>
    <row r="7">
      <c r="A7" t="inlineStr">
        <is>
          <t>Savage Blade</t>
        </is>
      </c>
      <c r="B7" t="n">
        <v>2</v>
      </c>
      <c r="C7" t="inlineStr">
        <is>
          <t>50% STR, 50% MND</t>
        </is>
      </c>
      <c r="D7" s="10" t="n">
        <v>18069</v>
      </c>
      <c r="E7" s="10" t="n">
        <v>33564</v>
      </c>
      <c r="F7" s="10" t="n">
        <v>42241</v>
      </c>
    </row>
    <row r="8">
      <c r="A8" t="inlineStr">
        <is>
          <t>Knights Of Round</t>
        </is>
      </c>
      <c r="B8" t="n">
        <v>1</v>
      </c>
      <c r="C8" t="inlineStr">
        <is>
          <t>40% STR, 40% MND</t>
        </is>
      </c>
      <c r="D8" s="10" t="n">
        <v>13923</v>
      </c>
      <c r="E8" s="10" t="n">
        <v>13923</v>
      </c>
      <c r="F8" s="10" t="n">
        <v>13923</v>
      </c>
    </row>
    <row r="9">
      <c r="A9" t="inlineStr">
        <is>
          <t>Atonement</t>
        </is>
      </c>
      <c r="B9" t="n">
        <v>2</v>
      </c>
      <c r="C9" t="inlineStr">
        <is>
          <t>50% VIT, 40% STR</t>
        </is>
      </c>
      <c r="D9" s="10" t="n">
        <v>10267</v>
      </c>
      <c r="E9" s="10" t="n">
        <v>10865</v>
      </c>
      <c r="F9" s="10" t="n">
        <v>11464</v>
      </c>
    </row>
    <row r="10">
      <c r="A10" t="inlineStr">
        <is>
          <t>Fast Blade</t>
        </is>
      </c>
      <c r="B10" t="n">
        <v>2</v>
      </c>
      <c r="C10" t="inlineStr">
        <is>
          <t>40% STR, 40% DEX</t>
        </is>
      </c>
      <c r="D10" s="10" t="n">
        <v>9285</v>
      </c>
      <c r="E10" s="10" t="n">
        <v>10367</v>
      </c>
      <c r="F10" s="10" t="n">
        <v>11450</v>
      </c>
    </row>
    <row r="11">
      <c r="A11" t="inlineStr">
        <is>
          <t>Glory Slash</t>
        </is>
      </c>
      <c r="B11" t="n">
        <v>1</v>
      </c>
      <c r="C11" t="inlineStr">
        <is>
          <t>30% STR</t>
        </is>
      </c>
      <c r="D11" s="10" t="n">
        <v>6743</v>
      </c>
      <c r="E11" s="10" t="n">
        <v>7537</v>
      </c>
      <c r="F11" s="10" t="n">
        <v>8332</v>
      </c>
    </row>
    <row r="12">
      <c r="A12" t="inlineStr">
        <is>
          <t>Flat Blade</t>
        </is>
      </c>
      <c r="B12" t="n">
        <v>1</v>
      </c>
      <c r="C12" t="inlineStr">
        <is>
          <t>100% STR</t>
        </is>
      </c>
      <c r="D12" s="10" t="n">
        <v>5411</v>
      </c>
      <c r="E12" s="10" t="n">
        <v>5411</v>
      </c>
      <c r="F12" s="10" t="n">
        <v>5411</v>
      </c>
    </row>
    <row r="13">
      <c r="A13" t="inlineStr">
        <is>
          <t>Circle Blade</t>
        </is>
      </c>
      <c r="B13" t="n">
        <v>1</v>
      </c>
      <c r="C13" t="inlineStr">
        <is>
          <t>100% STR</t>
        </is>
      </c>
      <c r="D13" s="10" t="n">
        <v>5411</v>
      </c>
      <c r="E13" s="10" t="n">
        <v>5411</v>
      </c>
      <c r="F13" s="10" t="n">
        <v>5411</v>
      </c>
    </row>
    <row r="14">
      <c r="A14" t="inlineStr">
        <is>
          <t>Knights Of Rotund</t>
        </is>
      </c>
      <c r="B14" t="n">
        <v>1</v>
      </c>
      <c r="C14" t="inlineStr">
        <is>
          <t>-</t>
        </is>
      </c>
      <c r="D14" s="10" t="n">
        <v>5244</v>
      </c>
      <c r="E14" s="10" t="n">
        <v>5244</v>
      </c>
      <c r="F14" s="10" t="n">
        <v>5244</v>
      </c>
    </row>
    <row r="16">
      <c r="A16" s="2" t="inlineStr">
        <is>
          <t>Want the workbook focused on a different WS? Re-run: whatif ... --ws "Savage Blade"  (Baseline / Sensitivity / Scenarios all follow the chosen WS).</t>
        </is>
      </c>
    </row>
  </sheetData>
  <mergeCells count="1"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8" customWidth="1" min="3" max="3"/>
    <col width="8" customWidth="1" min="4" max="4"/>
    <col width="6" customWidth="1" min="5" max="5"/>
    <col width="12" customWidth="1" min="6" max="6"/>
    <col width="14" customWidth="1" min="7" max="7"/>
    <col width="14" customWidth="1" min="8" max="8"/>
  </cols>
  <sheetData>
    <row r="1">
      <c r="A1" s="5" t="inlineStr">
        <is>
          <t>Your set vs every Hunting League NM  (WS = Chant Du Cygne @ TP1000)</t>
        </is>
      </c>
    </row>
    <row r="2">
      <c r="A2" s="8" t="inlineStr">
        <is>
          <t>Target</t>
        </is>
      </c>
      <c r="B2" s="8" t="inlineStr">
        <is>
          <t>Tier</t>
        </is>
      </c>
      <c r="C2" s="8" t="inlineStr">
        <is>
          <t>DEF</t>
        </is>
      </c>
      <c r="D2" s="8" t="inlineStr">
        <is>
          <t>EVA</t>
        </is>
      </c>
      <c r="E2" s="8" t="inlineStr">
        <is>
          <t>Pts</t>
        </is>
      </c>
      <c r="F2" s="8" t="inlineStr">
        <is>
          <t>Auto DPS</t>
        </is>
      </c>
      <c r="G2" s="8" t="inlineStr">
        <is>
          <t>WS dmg</t>
        </is>
      </c>
      <c r="H2" s="8" t="inlineStr">
        <is>
          <t>Rotation DPS</t>
        </is>
      </c>
    </row>
    <row r="3">
      <c r="A3" s="7" t="inlineStr">
        <is>
          <t>Leaping Lizzy  *</t>
        </is>
      </c>
      <c r="B3" s="7" t="n">
        <v>1</v>
      </c>
      <c r="C3" s="7" t="n">
        <v>350</v>
      </c>
      <c r="D3" s="7" t="n">
        <v>100</v>
      </c>
      <c r="E3" s="7" t="n">
        <v>5</v>
      </c>
      <c r="F3" s="11" t="n">
        <v>434</v>
      </c>
      <c r="G3" s="9" t="n">
        <v>37068</v>
      </c>
      <c r="H3" s="11" t="n">
        <v>2787.4</v>
      </c>
    </row>
    <row r="4">
      <c r="A4" t="inlineStr">
        <is>
          <t>Tom Tit Tat</t>
        </is>
      </c>
      <c r="B4" t="n">
        <v>1</v>
      </c>
      <c r="C4" t="n">
        <v>350</v>
      </c>
      <c r="D4" t="n">
        <v>100</v>
      </c>
      <c r="E4" t="n">
        <v>5</v>
      </c>
      <c r="F4" s="12" t="n">
        <v>434</v>
      </c>
      <c r="G4" s="10" t="n">
        <v>37068</v>
      </c>
      <c r="H4" s="12" t="n">
        <v>2787.4</v>
      </c>
    </row>
    <row r="5">
      <c r="A5" t="inlineStr">
        <is>
          <t>Valkurm Emperor</t>
        </is>
      </c>
      <c r="B5" t="n">
        <v>1</v>
      </c>
      <c r="C5" t="n">
        <v>350</v>
      </c>
      <c r="D5" t="n">
        <v>100</v>
      </c>
      <c r="E5" t="n">
        <v>5</v>
      </c>
      <c r="F5" s="12" t="n">
        <v>434</v>
      </c>
      <c r="G5" s="10" t="n">
        <v>37068</v>
      </c>
      <c r="H5" s="12" t="n">
        <v>2787.4</v>
      </c>
    </row>
    <row r="6">
      <c r="A6" t="inlineStr">
        <is>
          <t>Aquarius</t>
        </is>
      </c>
      <c r="B6" t="n">
        <v>2</v>
      </c>
      <c r="C6" t="n">
        <v>600</v>
      </c>
      <c r="D6" t="n">
        <v>150</v>
      </c>
      <c r="E6" t="n">
        <v>12</v>
      </c>
      <c r="F6" s="12" t="n">
        <v>283.8</v>
      </c>
      <c r="G6" s="10" t="n">
        <v>24847</v>
      </c>
      <c r="H6" s="12" t="n">
        <v>1861.4</v>
      </c>
    </row>
    <row r="7">
      <c r="A7" t="inlineStr">
        <is>
          <t>Bomb Queen</t>
        </is>
      </c>
      <c r="B7" t="n">
        <v>2</v>
      </c>
      <c r="C7" t="n">
        <v>600</v>
      </c>
      <c r="D7" t="n">
        <v>150</v>
      </c>
      <c r="E7" t="n">
        <v>12</v>
      </c>
      <c r="F7" s="12" t="n">
        <v>283.8</v>
      </c>
      <c r="G7" s="10" t="n">
        <v>24847</v>
      </c>
      <c r="H7" s="12" t="n">
        <v>1861.4</v>
      </c>
    </row>
    <row r="8">
      <c r="A8" t="inlineStr">
        <is>
          <t>Roc</t>
        </is>
      </c>
      <c r="B8" t="n">
        <v>2</v>
      </c>
      <c r="C8" t="n">
        <v>600</v>
      </c>
      <c r="D8" t="n">
        <v>150</v>
      </c>
      <c r="E8" t="n">
        <v>12</v>
      </c>
      <c r="F8" s="12" t="n">
        <v>283.8</v>
      </c>
      <c r="G8" s="10" t="n">
        <v>24847</v>
      </c>
      <c r="H8" s="12" t="n">
        <v>1861.4</v>
      </c>
    </row>
    <row r="9">
      <c r="A9" t="inlineStr">
        <is>
          <t>Serket</t>
        </is>
      </c>
      <c r="B9" t="n">
        <v>3</v>
      </c>
      <c r="C9" t="n">
        <v>900</v>
      </c>
      <c r="D9" t="n">
        <v>250</v>
      </c>
      <c r="E9" t="n">
        <v>22</v>
      </c>
      <c r="F9" s="12" t="n">
        <v>190.5</v>
      </c>
      <c r="G9" s="10" t="n">
        <v>17250</v>
      </c>
      <c r="H9" s="12" t="n">
        <v>1285.7</v>
      </c>
    </row>
    <row r="10">
      <c r="A10" t="inlineStr">
        <is>
          <t>Simurgh</t>
        </is>
      </c>
      <c r="B10" t="n">
        <v>3</v>
      </c>
      <c r="C10" t="n">
        <v>900</v>
      </c>
      <c r="D10" t="n">
        <v>250</v>
      </c>
      <c r="E10" t="n">
        <v>22</v>
      </c>
      <c r="F10" s="12" t="n">
        <v>190.5</v>
      </c>
      <c r="G10" s="10" t="n">
        <v>17250</v>
      </c>
      <c r="H10" s="12" t="n">
        <v>1285.7</v>
      </c>
    </row>
    <row r="11">
      <c r="A11" t="inlineStr">
        <is>
          <t>Vrtra</t>
        </is>
      </c>
      <c r="B11" t="n">
        <v>3</v>
      </c>
      <c r="C11" t="n">
        <v>900</v>
      </c>
      <c r="D11" t="n">
        <v>250</v>
      </c>
      <c r="E11" t="n">
        <v>22</v>
      </c>
      <c r="F11" s="12" t="n">
        <v>190.5</v>
      </c>
      <c r="G11" s="10" t="n">
        <v>17250</v>
      </c>
      <c r="H11" s="12" t="n">
        <v>1285.7</v>
      </c>
    </row>
    <row r="12">
      <c r="A12" t="inlineStr">
        <is>
          <t>King Behemoth</t>
        </is>
      </c>
      <c r="B12" t="n">
        <v>4</v>
      </c>
      <c r="C12" t="n">
        <v>1300</v>
      </c>
      <c r="D12" t="n">
        <v>350</v>
      </c>
      <c r="E12" t="n">
        <v>38</v>
      </c>
      <c r="F12" s="12" t="n">
        <v>143.6</v>
      </c>
      <c r="G12" s="10" t="n">
        <v>13239</v>
      </c>
      <c r="H12" s="12" t="n">
        <v>984.2</v>
      </c>
    </row>
    <row r="13">
      <c r="A13" t="inlineStr">
        <is>
          <t>Kirin</t>
        </is>
      </c>
      <c r="B13" t="n">
        <v>4</v>
      </c>
      <c r="C13" t="n">
        <v>1300</v>
      </c>
      <c r="D13" t="n">
        <v>350</v>
      </c>
      <c r="E13" t="n">
        <v>38</v>
      </c>
      <c r="F13" s="12" t="n">
        <v>143.6</v>
      </c>
      <c r="G13" s="10" t="n">
        <v>13239</v>
      </c>
      <c r="H13" s="12" t="n">
        <v>984.2</v>
      </c>
    </row>
    <row r="14">
      <c r="A14" t="inlineStr">
        <is>
          <t>Nidhogg</t>
        </is>
      </c>
      <c r="B14" t="n">
        <v>4</v>
      </c>
      <c r="C14" t="n">
        <v>1300</v>
      </c>
      <c r="D14" t="n">
        <v>350</v>
      </c>
      <c r="E14" t="n">
        <v>38</v>
      </c>
      <c r="F14" s="12" t="n">
        <v>143.6</v>
      </c>
      <c r="G14" s="10" t="n">
        <v>13239</v>
      </c>
      <c r="H14" s="12" t="n">
        <v>984.2</v>
      </c>
    </row>
    <row r="15">
      <c r="A15" t="inlineStr">
        <is>
          <t>Absolute Virtue</t>
        </is>
      </c>
      <c r="B15" t="n">
        <v>5</v>
      </c>
      <c r="C15" t="n">
        <v>2000</v>
      </c>
      <c r="D15" t="n">
        <v>500</v>
      </c>
      <c r="E15" t="n">
        <v>65</v>
      </c>
      <c r="F15" s="12" t="n">
        <v>106.3</v>
      </c>
      <c r="G15" s="10" t="n">
        <v>10055</v>
      </c>
      <c r="H15" s="12" t="n">
        <v>744.7</v>
      </c>
    </row>
    <row r="16">
      <c r="A16" t="inlineStr">
        <is>
          <t>Pandemonium Warden</t>
        </is>
      </c>
      <c r="B16" t="n">
        <v>5</v>
      </c>
      <c r="C16" t="n">
        <v>2000</v>
      </c>
      <c r="D16" t="n">
        <v>500</v>
      </c>
      <c r="E16" t="n">
        <v>65</v>
      </c>
      <c r="F16" s="12" t="n">
        <v>106.3</v>
      </c>
      <c r="G16" s="10" t="n">
        <v>10055</v>
      </c>
      <c r="H16" s="12" t="n">
        <v>744.7</v>
      </c>
    </row>
    <row r="17">
      <c r="A17" t="inlineStr">
        <is>
          <t>Shinryu</t>
        </is>
      </c>
      <c r="B17" t="n">
        <v>5</v>
      </c>
      <c r="C17" t="n">
        <v>8000</v>
      </c>
      <c r="D17" t="n">
        <v>4000</v>
      </c>
      <c r="E17" t="n">
        <v>65</v>
      </c>
      <c r="F17" s="12" t="n">
        <v>9.800000000000001</v>
      </c>
      <c r="G17" s="10" t="n">
        <v>1077</v>
      </c>
      <c r="H17" s="12" t="n">
        <v>23.6</v>
      </c>
    </row>
    <row r="19">
      <c r="A19" s="2" t="inlineStr">
        <is>
          <t>Want the workbook focused on a different NM? Re-run: whatif ... --target "Kirin"  (the * row is the one all other sheets use).</t>
        </is>
      </c>
    </row>
  </sheetData>
  <mergeCells count="1">
    <mergeCell ref="A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Sensitivity -- value of +1 of each mod (type amounts in the yellow column)</t>
        </is>
      </c>
    </row>
    <row r="2">
      <c r="A2" s="8" t="inlineStr">
        <is>
          <t>Mod</t>
        </is>
      </c>
      <c r="B2" s="8" t="inlineStr">
        <is>
          <t>Unit</t>
        </is>
      </c>
      <c r="C2" s="8" t="inlineStr">
        <is>
          <t>+1 Auto DPS</t>
        </is>
      </c>
      <c r="D2" s="8" t="inlineStr">
        <is>
          <t>+1 WS dmg</t>
        </is>
      </c>
      <c r="E2" s="8" t="inlineStr">
        <is>
          <t>+1 Rotation</t>
        </is>
      </c>
      <c r="F2" s="8" t="inlineStr">
        <is>
          <t>Your amount</t>
        </is>
      </c>
      <c r="G2" s="8" t="inlineStr">
        <is>
          <t>Est. Auto</t>
        </is>
      </c>
      <c r="H2" s="8" t="inlineStr">
        <is>
          <t>Est. WS</t>
        </is>
      </c>
      <c r="I2" s="8" t="inlineStr">
        <is>
          <t>Est. Rotation</t>
        </is>
      </c>
    </row>
    <row r="3">
      <c r="A3" t="inlineStr">
        <is>
          <t>STR</t>
        </is>
      </c>
      <c r="B3" t="inlineStr">
        <is>
          <t>pt</t>
        </is>
      </c>
      <c r="C3" s="13" t="n">
        <v>0.7025</v>
      </c>
      <c r="D3" s="14" t="n">
        <v>44.388</v>
      </c>
      <c r="E3" s="13" t="n">
        <v>3.5207</v>
      </c>
      <c r="F3" s="15" t="n">
        <v>0</v>
      </c>
      <c r="G3" s="12">
        <f>C3*F3</f>
        <v/>
      </c>
      <c r="H3" s="10">
        <f>D3*F3</f>
        <v/>
      </c>
      <c r="I3" s="12">
        <f>E3*F3</f>
        <v/>
      </c>
    </row>
    <row r="4">
      <c r="A4" t="inlineStr">
        <is>
          <t>DEX</t>
        </is>
      </c>
      <c r="B4" t="inlineStr">
        <is>
          <t>pt</t>
        </is>
      </c>
      <c r="C4" s="13" t="n">
        <v>0.1283</v>
      </c>
      <c r="D4" s="14" t="n">
        <v>100.882</v>
      </c>
      <c r="E4" s="13" t="n">
        <v>6.5333</v>
      </c>
      <c r="F4" s="15" t="n">
        <v>0</v>
      </c>
      <c r="G4" s="12">
        <f>C4*F4</f>
        <v/>
      </c>
      <c r="H4" s="10">
        <f>D4*F4</f>
        <v/>
      </c>
      <c r="I4" s="12">
        <f>E4*F4</f>
        <v/>
      </c>
    </row>
    <row r="5">
      <c r="A5" t="inlineStr">
        <is>
          <t>VIT</t>
        </is>
      </c>
      <c r="B5" t="inlineStr">
        <is>
          <t>pt</t>
        </is>
      </c>
      <c r="C5" s="13" t="n">
        <v>0</v>
      </c>
      <c r="D5" s="14" t="n">
        <v>0</v>
      </c>
      <c r="E5" s="13" t="n">
        <v>0</v>
      </c>
      <c r="F5" s="15" t="n">
        <v>0</v>
      </c>
      <c r="G5" s="12">
        <f>C5*F5</f>
        <v/>
      </c>
      <c r="H5" s="10">
        <f>D5*F5</f>
        <v/>
      </c>
      <c r="I5" s="12">
        <f>E5*F5</f>
        <v/>
      </c>
    </row>
    <row r="6">
      <c r="A6" t="inlineStr">
        <is>
          <t>AGI</t>
        </is>
      </c>
      <c r="B6" t="inlineStr">
        <is>
          <t>pt</t>
        </is>
      </c>
      <c r="C6" s="13" t="n">
        <v>0</v>
      </c>
      <c r="D6" s="14" t="n">
        <v>0</v>
      </c>
      <c r="E6" s="13" t="n">
        <v>0</v>
      </c>
      <c r="F6" s="15" t="n">
        <v>0</v>
      </c>
      <c r="G6" s="12">
        <f>C6*F6</f>
        <v/>
      </c>
      <c r="H6" s="10">
        <f>D6*F6</f>
        <v/>
      </c>
      <c r="I6" s="12">
        <f>E6*F6</f>
        <v/>
      </c>
    </row>
    <row r="7">
      <c r="A7" t="inlineStr">
        <is>
          <t>Attack</t>
        </is>
      </c>
      <c r="B7" t="inlineStr">
        <is>
          <t>pt</t>
        </is>
      </c>
      <c r="C7" s="13" t="n">
        <v>0.1832</v>
      </c>
      <c r="D7" s="14" t="n">
        <v>14.988</v>
      </c>
      <c r="E7" s="13" t="n">
        <v>1.1348</v>
      </c>
      <c r="F7" s="15" t="n">
        <v>0</v>
      </c>
      <c r="G7" s="12">
        <f>C7*F7</f>
        <v/>
      </c>
      <c r="H7" s="10">
        <f>D7*F7</f>
        <v/>
      </c>
      <c r="I7" s="12">
        <f>E7*F7</f>
        <v/>
      </c>
    </row>
    <row r="8">
      <c r="A8" t="inlineStr">
        <is>
          <t>Accuracy</t>
        </is>
      </c>
      <c r="B8" t="inlineStr">
        <is>
          <t>pt</t>
        </is>
      </c>
      <c r="C8" s="13" t="n">
        <v>0</v>
      </c>
      <c r="D8" s="14" t="n">
        <v>0</v>
      </c>
      <c r="E8" s="13" t="n">
        <v>0</v>
      </c>
      <c r="F8" s="15" t="n">
        <v>0</v>
      </c>
      <c r="G8" s="12">
        <f>C8*F8</f>
        <v/>
      </c>
      <c r="H8" s="10">
        <f>D8*F8</f>
        <v/>
      </c>
      <c r="I8" s="12">
        <f>E8*F8</f>
        <v/>
      </c>
    </row>
    <row r="9">
      <c r="A9" t="inlineStr">
        <is>
          <t>Weapon DMG (main)</t>
        </is>
      </c>
      <c r="B9" t="inlineStr">
        <is>
          <t>pt</t>
        </is>
      </c>
      <c r="C9" s="13" t="n">
        <v>2.2901</v>
      </c>
      <c r="D9" s="14" t="n">
        <v>112.669</v>
      </c>
      <c r="E9" s="13" t="n">
        <v>9.4435</v>
      </c>
      <c r="F9" s="15" t="n">
        <v>0</v>
      </c>
      <c r="G9" s="12">
        <f>C9*F9</f>
        <v/>
      </c>
      <c r="H9" s="10">
        <f>D9*F9</f>
        <v/>
      </c>
      <c r="I9" s="12">
        <f>E9*F9</f>
        <v/>
      </c>
    </row>
    <row r="10">
      <c r="A10" t="inlineStr">
        <is>
          <t>Double Attack</t>
        </is>
      </c>
      <c r="B10" t="inlineStr">
        <is>
          <t>%</t>
        </is>
      </c>
      <c r="C10" s="13" t="n">
        <v>1.3716</v>
      </c>
      <c r="D10" s="14" t="n">
        <v>117.16</v>
      </c>
      <c r="E10" s="13" t="n">
        <v>16.2722</v>
      </c>
      <c r="F10" s="15" t="n">
        <v>0</v>
      </c>
      <c r="G10" s="12">
        <f>C10*F10</f>
        <v/>
      </c>
      <c r="H10" s="10">
        <f>D10*F10</f>
        <v/>
      </c>
      <c r="I10" s="12">
        <f>E10*F10</f>
        <v/>
      </c>
    </row>
    <row r="11">
      <c r="A11" t="inlineStr">
        <is>
          <t>Triple Attack</t>
        </is>
      </c>
      <c r="B11" t="inlineStr">
        <is>
          <t>%</t>
        </is>
      </c>
      <c r="C11" s="13" t="n">
        <v>2.7992</v>
      </c>
      <c r="D11" s="14" t="n">
        <v>239.102</v>
      </c>
      <c r="E11" s="13" t="n">
        <v>33.2586</v>
      </c>
      <c r="F11" s="15" t="n">
        <v>0</v>
      </c>
      <c r="G11" s="12">
        <f>C11*F11</f>
        <v/>
      </c>
      <c r="H11" s="10">
        <f>D11*F11</f>
        <v/>
      </c>
      <c r="I11" s="12">
        <f>E11*F11</f>
        <v/>
      </c>
    </row>
    <row r="12">
      <c r="A12" t="inlineStr">
        <is>
          <t>Quad Attack</t>
        </is>
      </c>
      <c r="B12" t="inlineStr">
        <is>
          <t>%</t>
        </is>
      </c>
      <c r="C12" s="13" t="n">
        <v>6.2771</v>
      </c>
      <c r="D12" s="14" t="n">
        <v>536.169</v>
      </c>
      <c r="E12" s="13" t="n">
        <v>74.8527</v>
      </c>
      <c r="F12" s="15" t="n">
        <v>0</v>
      </c>
      <c r="G12" s="12">
        <f>C12*F12</f>
        <v/>
      </c>
      <c r="H12" s="10">
        <f>D12*F12</f>
        <v/>
      </c>
      <c r="I12" s="12">
        <f>E12*F12</f>
        <v/>
      </c>
    </row>
    <row r="13">
      <c r="A13" t="inlineStr">
        <is>
          <t>Crit hit rate</t>
        </is>
      </c>
      <c r="B13" t="inlineStr">
        <is>
          <t>%</t>
        </is>
      </c>
      <c r="C13" s="13" t="n">
        <v>1.2827</v>
      </c>
      <c r="D13" s="14" t="n">
        <v>104.913</v>
      </c>
      <c r="E13" s="13" t="n">
        <v>7.9437</v>
      </c>
      <c r="F13" s="15" t="n">
        <v>0</v>
      </c>
      <c r="G13" s="12">
        <f>C13*F13</f>
        <v/>
      </c>
      <c r="H13" s="10">
        <f>D13*F13</f>
        <v/>
      </c>
      <c r="I13" s="12">
        <f>E13*F13</f>
        <v/>
      </c>
    </row>
    <row r="14">
      <c r="A14" t="inlineStr">
        <is>
          <t>Crit damage</t>
        </is>
      </c>
      <c r="B14" t="inlineStr">
        <is>
          <t>%</t>
        </is>
      </c>
      <c r="C14" s="13" t="n">
        <v>0.8667</v>
      </c>
      <c r="D14" s="14" t="n">
        <v>137.352</v>
      </c>
      <c r="E14" s="13" t="n">
        <v>9.587300000000001</v>
      </c>
      <c r="F14" s="15" t="n">
        <v>0</v>
      </c>
      <c r="G14" s="12">
        <f>C14*F14</f>
        <v/>
      </c>
      <c r="H14" s="10">
        <f>D14*F14</f>
        <v/>
      </c>
      <c r="I14" s="12">
        <f>E14*F14</f>
        <v/>
      </c>
    </row>
    <row r="15">
      <c r="A15" t="inlineStr">
        <is>
          <t>Haste (gear)</t>
        </is>
      </c>
      <c r="B15" t="inlineStr">
        <is>
          <t>/1024 (~10=1%)</t>
        </is>
      </c>
      <c r="C15" s="13" t="n">
        <v>0.0549</v>
      </c>
      <c r="D15" s="14" t="n">
        <v>0</v>
      </c>
      <c r="E15" s="13" t="n">
        <v>0.3529</v>
      </c>
      <c r="F15" s="15" t="n">
        <v>0</v>
      </c>
      <c r="G15" s="12">
        <f>C15*F15</f>
        <v/>
      </c>
      <c r="H15" s="10">
        <f>D15*F15</f>
        <v/>
      </c>
      <c r="I15" s="12">
        <f>E15*F15</f>
        <v/>
      </c>
    </row>
    <row r="16">
      <c r="A16" t="inlineStr">
        <is>
          <t>Store TP</t>
        </is>
      </c>
      <c r="B16" t="inlineStr">
        <is>
          <t>pt</t>
        </is>
      </c>
      <c r="C16" s="13" t="n">
        <v>0</v>
      </c>
      <c r="D16" s="14" t="n">
        <v>0</v>
      </c>
      <c r="E16" s="13" t="n">
        <v>18.1036</v>
      </c>
      <c r="F16" s="15" t="n">
        <v>0</v>
      </c>
      <c r="G16" s="12">
        <f>C16*F16</f>
        <v/>
      </c>
      <c r="H16" s="10">
        <f>D16*F16</f>
        <v/>
      </c>
      <c r="I16" s="12">
        <f>E16*F16</f>
        <v/>
      </c>
    </row>
    <row r="17">
      <c r="A17" t="inlineStr">
        <is>
          <t>TP Bonus</t>
        </is>
      </c>
      <c r="B17" t="inlineStr">
        <is>
          <t>pt</t>
        </is>
      </c>
      <c r="C17" s="13" t="n">
        <v>0</v>
      </c>
      <c r="D17" s="14" t="n">
        <v>1.049</v>
      </c>
      <c r="E17" s="13" t="n">
        <v>0.06660000000000001</v>
      </c>
      <c r="F17" s="15" t="n">
        <v>0</v>
      </c>
      <c r="G17" s="12">
        <f>C17*F17</f>
        <v/>
      </c>
      <c r="H17" s="10">
        <f>D17*F17</f>
        <v/>
      </c>
      <c r="I17" s="12">
        <f>E17*F17</f>
        <v/>
      </c>
    </row>
    <row r="18">
      <c r="A18" t="inlineStr">
        <is>
          <t>WS dmg (all hits)</t>
        </is>
      </c>
      <c r="B18" t="inlineStr">
        <is>
          <t>%</t>
        </is>
      </c>
      <c r="C18" s="13" t="n">
        <v>0</v>
      </c>
      <c r="D18" s="14" t="n">
        <v>264.772</v>
      </c>
      <c r="E18" s="13" t="n">
        <v>16.8105</v>
      </c>
      <c r="F18" s="15" t="n">
        <v>0</v>
      </c>
      <c r="G18" s="12">
        <f>C18*F18</f>
        <v/>
      </c>
      <c r="H18" s="10">
        <f>D18*F18</f>
        <v/>
      </c>
      <c r="I18" s="12">
        <f>E18*F18</f>
        <v/>
      </c>
    </row>
    <row r="19">
      <c r="A19" t="inlineStr">
        <is>
          <t>WS dmg (1st hit)</t>
        </is>
      </c>
      <c r="B19" t="inlineStr">
        <is>
          <t>%</t>
        </is>
      </c>
      <c r="C19" s="13" t="n">
        <v>0</v>
      </c>
      <c r="D19" s="14" t="n">
        <v>43.128</v>
      </c>
      <c r="E19" s="13" t="n">
        <v>2.7382</v>
      </c>
      <c r="F19" s="15" t="n">
        <v>0</v>
      </c>
      <c r="G19" s="12">
        <f>C19*F19</f>
        <v/>
      </c>
      <c r="H19" s="10">
        <f>D19*F19</f>
        <v/>
      </c>
      <c r="I19" s="12">
        <f>E19*F19</f>
        <v/>
      </c>
    </row>
    <row r="20">
      <c r="A20" t="inlineStr">
        <is>
          <t>fTP bonus (Fotia)</t>
        </is>
      </c>
      <c r="B20" t="inlineStr">
        <is>
          <t>/256 (25=1pc)</t>
        </is>
      </c>
      <c r="C20" s="13" t="n">
        <v>0</v>
      </c>
      <c r="D20" s="14" t="n">
        <v>79.205</v>
      </c>
      <c r="E20" s="13" t="n">
        <v>5.0288</v>
      </c>
      <c r="F20" s="15" t="n">
        <v>0</v>
      </c>
      <c r="G20" s="12">
        <f>C20*F20</f>
        <v/>
      </c>
      <c r="H20" s="10">
        <f>D20*F20</f>
        <v/>
      </c>
      <c r="I20" s="12">
        <f>E20*F20</f>
        <v/>
      </c>
    </row>
    <row r="21">
      <c r="A21" t="inlineStr">
        <is>
          <t>WS accuracy</t>
        </is>
      </c>
      <c r="B21" t="inlineStr">
        <is>
          <t>pt</t>
        </is>
      </c>
      <c r="C21" s="13" t="n">
        <v>0</v>
      </c>
      <c r="D21" s="14" t="n">
        <v>0</v>
      </c>
      <c r="E21" s="13" t="n">
        <v>0</v>
      </c>
      <c r="F21" s="15" t="n">
        <v>0</v>
      </c>
      <c r="G21" s="12">
        <f>C21*F21</f>
        <v/>
      </c>
      <c r="H21" s="10">
        <f>D21*F21</f>
        <v/>
      </c>
      <c r="I21" s="12">
        <f>E21*F21</f>
        <v/>
      </c>
    </row>
    <row r="22">
      <c r="A22" s="7" t="inlineStr">
        <is>
          <t>TOTAL (typed package)</t>
        </is>
      </c>
      <c r="G22" s="11">
        <f>SUM(G3:G21)</f>
        <v/>
      </c>
      <c r="H22" s="9">
        <f>SUM(H3:H21)</f>
        <v/>
      </c>
      <c r="I22" s="11">
        <f>SUM(I3:I21)</f>
        <v/>
      </c>
    </row>
    <row r="24">
      <c r="A24" s="3" t="inlineStr">
        <is>
          <t>Estimate = your amount x per-point value, summed. First-order: exact for linear mods, ~0 when you're capped, drifts on big combined swings. Use the Scenarios sheet for exact numbers.</t>
        </is>
      </c>
    </row>
  </sheetData>
  <mergeCells count="1">
    <mergeCell ref="A24:I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22" customWidth="1" min="3" max="3"/>
    <col width="42" customWidth="1" min="4" max="4"/>
    <col width="11" customWidth="1" min="5" max="5"/>
    <col width="11" customWidth="1" min="6" max="6"/>
    <col width="12" customWidth="1" min="7" max="7"/>
    <col width="10" customWidth="1" min="8" max="8"/>
    <col width="10" customWidth="1" min="9" max="9"/>
    <col width="11" customWidth="1" min="10" max="10"/>
    <col width="34" customWidth="1" min="11" max="11"/>
  </cols>
  <sheetData>
    <row r="1">
      <c r="A1" s="5" t="inlineStr">
        <is>
          <t>Scenarios -- fill rows, then run `score` to write exact numbers</t>
        </is>
      </c>
    </row>
    <row r="2">
      <c r="A2" s="8" t="inlineStr">
        <is>
          <t>Scenario</t>
        </is>
      </c>
      <c r="B2" s="8" t="inlineStr">
        <is>
          <t>Slot</t>
        </is>
      </c>
      <c r="C2" s="8" t="inlineStr">
        <is>
          <t>Base item (optional)</t>
        </is>
      </c>
      <c r="D2" s="8" t="inlineStr">
        <is>
          <t>Mods (e.g. STR:15 ATT:20 DOUBLE_ATTACK:3)</t>
        </is>
      </c>
      <c r="E2" s="8" t="inlineStr">
        <is>
          <t>Auto DPS</t>
        </is>
      </c>
      <c r="F2" s="8" t="inlineStr">
        <is>
          <t>WS dmg</t>
        </is>
      </c>
      <c r="G2" s="8" t="inlineStr">
        <is>
          <t>Rotation DPS</t>
        </is>
      </c>
      <c r="H2" s="8" t="inlineStr">
        <is>
          <t>dAuto</t>
        </is>
      </c>
      <c r="I2" s="8" t="inlineStr">
        <is>
          <t>dWS</t>
        </is>
      </c>
      <c r="J2" s="8" t="inlineStr">
        <is>
          <t>dRotation</t>
        </is>
      </c>
      <c r="K2" s="8" t="inlineStr">
        <is>
          <t>Notes</t>
        </is>
      </c>
    </row>
    <row r="3">
      <c r="A3" s="16" t="inlineStr">
        <is>
          <t>(equipped baseline)</t>
        </is>
      </c>
      <c r="B3" s="16" t="inlineStr"/>
      <c r="C3" s="16" t="inlineStr"/>
      <c r="D3" s="16" t="inlineStr"/>
      <c r="E3" t="n">
        <v>434</v>
      </c>
      <c r="F3" t="n">
        <v>37068</v>
      </c>
      <c r="G3" t="n">
        <v>2787.4</v>
      </c>
      <c r="H3" t="n">
        <v>0</v>
      </c>
      <c r="I3" t="n">
        <v>0</v>
      </c>
      <c r="J3" t="n">
        <v>0</v>
      </c>
      <c r="K3" t="inlineStr">
        <is>
          <t>filled by `score`</t>
        </is>
      </c>
    </row>
    <row r="4">
      <c r="A4" s="16" t="inlineStr">
        <is>
          <t>ex: augment an earring</t>
        </is>
      </c>
      <c r="B4" s="16" t="inlineStr">
        <is>
          <t>ear1</t>
        </is>
      </c>
      <c r="C4" s="16" t="inlineStr">
        <is>
          <t>brutal_earring</t>
        </is>
      </c>
      <c r="D4" s="16" t="inlineStr">
        <is>
          <t>STR:8 DOUBLE_ATTACK:3</t>
        </is>
      </c>
      <c r="K4" t="inlineStr">
        <is>
          <t>base item + extra augment mods</t>
        </is>
      </c>
    </row>
    <row r="5">
      <c r="A5" s="16" t="inlineStr">
        <is>
          <t>ex: brand-new ring</t>
        </is>
      </c>
      <c r="B5" s="16" t="inlineStr">
        <is>
          <t>ring1</t>
        </is>
      </c>
      <c r="C5" s="16" t="inlineStr"/>
      <c r="D5" s="16" t="inlineStr">
        <is>
          <t>STR:10 ATT:15 CRITHITRATE:4</t>
        </is>
      </c>
      <c r="K5" t="inlineStr">
        <is>
          <t>mods only (no base item)</t>
        </is>
      </c>
    </row>
    <row r="6">
      <c r="A6" s="16" t="n"/>
      <c r="B6" s="16" t="n"/>
      <c r="C6" s="16" t="n"/>
      <c r="D6" s="16" t="n"/>
    </row>
    <row r="7">
      <c r="A7" s="16" t="n"/>
      <c r="B7" s="16" t="n"/>
      <c r="C7" s="16" t="n"/>
      <c r="D7" s="16" t="n"/>
    </row>
    <row r="8">
      <c r="A8" s="16" t="n"/>
      <c r="B8" s="16" t="n"/>
      <c r="C8" s="16" t="n"/>
      <c r="D8" s="16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6" t="n"/>
      <c r="B21" s="16" t="n"/>
      <c r="C21" s="16" t="n"/>
      <c r="D21" s="16" t="n"/>
    </row>
    <row r="22">
      <c r="A22" s="16" t="n"/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  <row r="25">
      <c r="A25" s="16" t="n"/>
      <c r="B25" s="16" t="n"/>
      <c r="C25" s="16" t="n"/>
      <c r="D25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charname</t>
        </is>
      </c>
      <c r="B1" t="inlineStr">
        <is>
          <t>Jbae</t>
        </is>
      </c>
    </row>
    <row r="2">
      <c r="A2" t="inlineStr">
        <is>
          <t>target</t>
        </is>
      </c>
      <c r="B2" t="inlineStr">
        <is>
          <t>Leaping_Lizzy</t>
        </is>
      </c>
    </row>
    <row r="3">
      <c r="A3" t="inlineStr">
        <is>
          <t>ws</t>
        </is>
      </c>
      <c r="B3" t="inlineStr">
        <is>
          <t>chant_du_cygne</t>
        </is>
      </c>
    </row>
    <row r="4">
      <c r="A4" t="inlineStr">
        <is>
          <t>tp</t>
        </is>
      </c>
      <c r="B4" t="n">
        <v>1000</v>
      </c>
    </row>
    <row r="5">
      <c r="A5" t="inlineStr">
        <is>
          <t>main_skill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2026-06-01T04:11:18Z</dcterms:created>
  <dcterms:modified xmlns:dcterms="http://purl.org/dc/terms/" xmlns:xsi="http://www.w3.org/2001/XMLSchema-instance" xsi:type="dcterms:W3CDTF">2026-06-01T04:11:18Z</dcterms:modified>
</cp:coreProperties>
</file>